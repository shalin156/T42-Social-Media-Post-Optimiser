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ali\Downloads\T42_GitHub_Submission\"/>
    </mc:Choice>
  </mc:AlternateContent>
  <xr:revisionPtr revIDLastSave="0" documentId="13_ncr:1_{B7B1A564-2C7B-4D58-B3EF-426A9347A924}" xr6:coauthVersionLast="47" xr6:coauthVersionMax="47" xr10:uidLastSave="{00000000-0000-0000-0000-000000000000}"/>
  <bookViews>
    <workbookView xWindow="-108" yWindow="-108" windowWidth="23256" windowHeight="13896" activeTab="3" xr2:uid="{00000000-000D-0000-FFFF-FFFF00000000}"/>
  </bookViews>
  <sheets>
    <sheet name="Task Brief" sheetId="1" r:id="rId1"/>
    <sheet name="Posts" sheetId="2" r:id="rId2"/>
    <sheet name="Data Dictionary" sheetId="3" r:id="rId3"/>
    <sheet name="AI Use Log" sheetId="4" r:id="rId4"/>
    <sheet name="Analysis Data" sheetId="5" r:id="rId5"/>
    <sheet name="Pivot Verification" sheetId="6" r:id="rId6"/>
    <sheet name="Engagement Analysis" sheetId="7" r:id="rId7"/>
    <sheet name="New Post Drafts" sheetId="8" r:id="rId8"/>
    <sheet name="Posting Rules" sheetId="9" r:id="rId9"/>
    <sheet name="Post Optimiz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0" l="1"/>
  <c r="C12" i="10" s="1"/>
  <c r="D12" i="10" s="1"/>
  <c r="B11" i="10"/>
  <c r="C11" i="10" s="1"/>
  <c r="D11" i="10" s="1"/>
  <c r="B10" i="10"/>
  <c r="C10" i="10" s="1"/>
  <c r="P251" i="5"/>
  <c r="N251" i="5"/>
  <c r="O251" i="5" s="1"/>
  <c r="L251" i="5"/>
  <c r="M251" i="5" s="1"/>
  <c r="P250" i="5"/>
  <c r="N250" i="5"/>
  <c r="O250" i="5" s="1"/>
  <c r="L250" i="5"/>
  <c r="M250" i="5" s="1"/>
  <c r="P249" i="5"/>
  <c r="N249" i="5"/>
  <c r="O249" i="5" s="1"/>
  <c r="L249" i="5"/>
  <c r="M249" i="5" s="1"/>
  <c r="P248" i="5"/>
  <c r="N248" i="5"/>
  <c r="O248" i="5" s="1"/>
  <c r="L248" i="5"/>
  <c r="M248" i="5" s="1"/>
  <c r="P247" i="5"/>
  <c r="N247" i="5"/>
  <c r="O247" i="5" s="1"/>
  <c r="L247" i="5"/>
  <c r="M247" i="5" s="1"/>
  <c r="P246" i="5"/>
  <c r="N246" i="5"/>
  <c r="O246" i="5" s="1"/>
  <c r="L246" i="5"/>
  <c r="M246" i="5" s="1"/>
  <c r="P245" i="5"/>
  <c r="N245" i="5"/>
  <c r="O245" i="5" s="1"/>
  <c r="L245" i="5"/>
  <c r="M245" i="5" s="1"/>
  <c r="P244" i="5"/>
  <c r="N244" i="5"/>
  <c r="O244" i="5" s="1"/>
  <c r="L244" i="5"/>
  <c r="M244" i="5" s="1"/>
  <c r="P243" i="5"/>
  <c r="N243" i="5"/>
  <c r="O243" i="5" s="1"/>
  <c r="L243" i="5"/>
  <c r="M243" i="5" s="1"/>
  <c r="P242" i="5"/>
  <c r="N242" i="5"/>
  <c r="O242" i="5" s="1"/>
  <c r="L242" i="5"/>
  <c r="M242" i="5" s="1"/>
  <c r="P241" i="5"/>
  <c r="N241" i="5"/>
  <c r="O241" i="5" s="1"/>
  <c r="L241" i="5"/>
  <c r="M241" i="5" s="1"/>
  <c r="P240" i="5"/>
  <c r="N240" i="5"/>
  <c r="O240" i="5" s="1"/>
  <c r="L240" i="5"/>
  <c r="M240" i="5" s="1"/>
  <c r="P239" i="5"/>
  <c r="N239" i="5"/>
  <c r="O239" i="5" s="1"/>
  <c r="L239" i="5"/>
  <c r="M239" i="5" s="1"/>
  <c r="P238" i="5"/>
  <c r="N238" i="5"/>
  <c r="O238" i="5" s="1"/>
  <c r="L238" i="5"/>
  <c r="M238" i="5" s="1"/>
  <c r="P237" i="5"/>
  <c r="N237" i="5"/>
  <c r="O237" i="5" s="1"/>
  <c r="L237" i="5"/>
  <c r="M237" i="5" s="1"/>
  <c r="P236" i="5"/>
  <c r="N236" i="5"/>
  <c r="O236" i="5" s="1"/>
  <c r="L236" i="5"/>
  <c r="M236" i="5" s="1"/>
  <c r="P235" i="5"/>
  <c r="N235" i="5"/>
  <c r="O235" i="5" s="1"/>
  <c r="L235" i="5"/>
  <c r="M235" i="5" s="1"/>
  <c r="P234" i="5"/>
  <c r="N234" i="5"/>
  <c r="O234" i="5" s="1"/>
  <c r="L234" i="5"/>
  <c r="M234" i="5" s="1"/>
  <c r="P233" i="5"/>
  <c r="N233" i="5"/>
  <c r="O233" i="5" s="1"/>
  <c r="M233" i="5"/>
  <c r="L233" i="5"/>
  <c r="P232" i="5"/>
  <c r="N232" i="5"/>
  <c r="O232" i="5" s="1"/>
  <c r="L232" i="5"/>
  <c r="M232" i="5" s="1"/>
  <c r="P231" i="5"/>
  <c r="N231" i="5"/>
  <c r="O231" i="5" s="1"/>
  <c r="L231" i="5"/>
  <c r="M231" i="5" s="1"/>
  <c r="P230" i="5"/>
  <c r="N230" i="5"/>
  <c r="O230" i="5" s="1"/>
  <c r="L230" i="5"/>
  <c r="M230" i="5" s="1"/>
  <c r="P229" i="5"/>
  <c r="N229" i="5"/>
  <c r="O229" i="5" s="1"/>
  <c r="L229" i="5"/>
  <c r="M229" i="5" s="1"/>
  <c r="P228" i="5"/>
  <c r="N228" i="5"/>
  <c r="O228" i="5" s="1"/>
  <c r="L228" i="5"/>
  <c r="M228" i="5" s="1"/>
  <c r="P227" i="5"/>
  <c r="N227" i="5"/>
  <c r="O227" i="5" s="1"/>
  <c r="L227" i="5"/>
  <c r="M227" i="5" s="1"/>
  <c r="P226" i="5"/>
  <c r="N226" i="5"/>
  <c r="O226" i="5" s="1"/>
  <c r="L226" i="5"/>
  <c r="M226" i="5" s="1"/>
  <c r="P225" i="5"/>
  <c r="N225" i="5"/>
  <c r="O225" i="5" s="1"/>
  <c r="L225" i="5"/>
  <c r="M225" i="5" s="1"/>
  <c r="P224" i="5"/>
  <c r="N224" i="5"/>
  <c r="O224" i="5" s="1"/>
  <c r="L224" i="5"/>
  <c r="M224" i="5" s="1"/>
  <c r="P223" i="5"/>
  <c r="N223" i="5"/>
  <c r="O223" i="5" s="1"/>
  <c r="L223" i="5"/>
  <c r="M223" i="5" s="1"/>
  <c r="P222" i="5"/>
  <c r="N222" i="5"/>
  <c r="O222" i="5" s="1"/>
  <c r="L222" i="5"/>
  <c r="M222" i="5" s="1"/>
  <c r="P221" i="5"/>
  <c r="N221" i="5"/>
  <c r="O221" i="5" s="1"/>
  <c r="L221" i="5"/>
  <c r="M221" i="5" s="1"/>
  <c r="P220" i="5"/>
  <c r="N220" i="5"/>
  <c r="O220" i="5" s="1"/>
  <c r="L220" i="5"/>
  <c r="M220" i="5" s="1"/>
  <c r="P219" i="5"/>
  <c r="N219" i="5"/>
  <c r="O219" i="5" s="1"/>
  <c r="L219" i="5"/>
  <c r="M219" i="5" s="1"/>
  <c r="P218" i="5"/>
  <c r="N218" i="5"/>
  <c r="O218" i="5" s="1"/>
  <c r="L218" i="5"/>
  <c r="M218" i="5" s="1"/>
  <c r="P217" i="5"/>
  <c r="N217" i="5"/>
  <c r="O217" i="5" s="1"/>
  <c r="L217" i="5"/>
  <c r="M217" i="5" s="1"/>
  <c r="P216" i="5"/>
  <c r="N216" i="5"/>
  <c r="O216" i="5" s="1"/>
  <c r="L216" i="5"/>
  <c r="M216" i="5" s="1"/>
  <c r="P215" i="5"/>
  <c r="N215" i="5"/>
  <c r="O215" i="5" s="1"/>
  <c r="L215" i="5"/>
  <c r="M215" i="5" s="1"/>
  <c r="P214" i="5"/>
  <c r="N214" i="5"/>
  <c r="O214" i="5" s="1"/>
  <c r="L214" i="5"/>
  <c r="M214" i="5" s="1"/>
  <c r="P213" i="5"/>
  <c r="N213" i="5"/>
  <c r="O213" i="5" s="1"/>
  <c r="L213" i="5"/>
  <c r="M213" i="5" s="1"/>
  <c r="P212" i="5"/>
  <c r="N212" i="5"/>
  <c r="O212" i="5" s="1"/>
  <c r="M212" i="5"/>
  <c r="L212" i="5"/>
  <c r="P211" i="5"/>
  <c r="N211" i="5"/>
  <c r="O211" i="5" s="1"/>
  <c r="L211" i="5"/>
  <c r="M211" i="5" s="1"/>
  <c r="P210" i="5"/>
  <c r="N210" i="5"/>
  <c r="O210" i="5" s="1"/>
  <c r="L210" i="5"/>
  <c r="M210" i="5" s="1"/>
  <c r="P209" i="5"/>
  <c r="N209" i="5"/>
  <c r="O209" i="5" s="1"/>
  <c r="L209" i="5"/>
  <c r="M209" i="5" s="1"/>
  <c r="P208" i="5"/>
  <c r="N208" i="5"/>
  <c r="O208" i="5" s="1"/>
  <c r="L208" i="5"/>
  <c r="M208" i="5" s="1"/>
  <c r="P207" i="5"/>
  <c r="N207" i="5"/>
  <c r="O207" i="5" s="1"/>
  <c r="L207" i="5"/>
  <c r="M207" i="5" s="1"/>
  <c r="P206" i="5"/>
  <c r="N206" i="5"/>
  <c r="O206" i="5" s="1"/>
  <c r="L206" i="5"/>
  <c r="M206" i="5" s="1"/>
  <c r="P205" i="5"/>
  <c r="N205" i="5"/>
  <c r="O205" i="5" s="1"/>
  <c r="L205" i="5"/>
  <c r="M205" i="5" s="1"/>
  <c r="P204" i="5"/>
  <c r="N204" i="5"/>
  <c r="O204" i="5" s="1"/>
  <c r="L204" i="5"/>
  <c r="M204" i="5" s="1"/>
  <c r="P203" i="5"/>
  <c r="N203" i="5"/>
  <c r="O203" i="5" s="1"/>
  <c r="L203" i="5"/>
  <c r="M203" i="5" s="1"/>
  <c r="P202" i="5"/>
  <c r="N202" i="5"/>
  <c r="O202" i="5" s="1"/>
  <c r="L202" i="5"/>
  <c r="M202" i="5" s="1"/>
  <c r="P201" i="5"/>
  <c r="N201" i="5"/>
  <c r="O201" i="5" s="1"/>
  <c r="L201" i="5"/>
  <c r="M201" i="5" s="1"/>
  <c r="P200" i="5"/>
  <c r="N200" i="5"/>
  <c r="O200" i="5" s="1"/>
  <c r="L200" i="5"/>
  <c r="M200" i="5" s="1"/>
  <c r="P199" i="5"/>
  <c r="N199" i="5"/>
  <c r="O199" i="5" s="1"/>
  <c r="L199" i="5"/>
  <c r="M199" i="5" s="1"/>
  <c r="P198" i="5"/>
  <c r="N198" i="5"/>
  <c r="O198" i="5" s="1"/>
  <c r="L198" i="5"/>
  <c r="M198" i="5" s="1"/>
  <c r="P197" i="5"/>
  <c r="N197" i="5"/>
  <c r="O197" i="5" s="1"/>
  <c r="L197" i="5"/>
  <c r="M197" i="5" s="1"/>
  <c r="P196" i="5"/>
  <c r="N196" i="5"/>
  <c r="O196" i="5" s="1"/>
  <c r="L196" i="5"/>
  <c r="M196" i="5" s="1"/>
  <c r="P195" i="5"/>
  <c r="N195" i="5"/>
  <c r="O195" i="5" s="1"/>
  <c r="L195" i="5"/>
  <c r="M195" i="5" s="1"/>
  <c r="P194" i="5"/>
  <c r="N194" i="5"/>
  <c r="O194" i="5" s="1"/>
  <c r="L194" i="5"/>
  <c r="M194" i="5" s="1"/>
  <c r="P193" i="5"/>
  <c r="N193" i="5"/>
  <c r="O193" i="5" s="1"/>
  <c r="L193" i="5"/>
  <c r="M193" i="5" s="1"/>
  <c r="P192" i="5"/>
  <c r="N192" i="5"/>
  <c r="O192" i="5" s="1"/>
  <c r="L192" i="5"/>
  <c r="M192" i="5" s="1"/>
  <c r="P191" i="5"/>
  <c r="N191" i="5"/>
  <c r="O191" i="5" s="1"/>
  <c r="M191" i="5"/>
  <c r="L191" i="5"/>
  <c r="P190" i="5"/>
  <c r="N190" i="5"/>
  <c r="O190" i="5" s="1"/>
  <c r="L190" i="5"/>
  <c r="M190" i="5" s="1"/>
  <c r="P189" i="5"/>
  <c r="N189" i="5"/>
  <c r="O189" i="5" s="1"/>
  <c r="L189" i="5"/>
  <c r="M189" i="5" s="1"/>
  <c r="P188" i="5"/>
  <c r="N188" i="5"/>
  <c r="O188" i="5" s="1"/>
  <c r="L188" i="5"/>
  <c r="M188" i="5" s="1"/>
  <c r="P187" i="5"/>
  <c r="N187" i="5"/>
  <c r="O187" i="5" s="1"/>
  <c r="L187" i="5"/>
  <c r="M187" i="5" s="1"/>
  <c r="P186" i="5"/>
  <c r="N186" i="5"/>
  <c r="O186" i="5" s="1"/>
  <c r="L186" i="5"/>
  <c r="M186" i="5" s="1"/>
  <c r="P185" i="5"/>
  <c r="N185" i="5"/>
  <c r="O185" i="5" s="1"/>
  <c r="L185" i="5"/>
  <c r="M185" i="5" s="1"/>
  <c r="P184" i="5"/>
  <c r="N184" i="5"/>
  <c r="O184" i="5" s="1"/>
  <c r="L184" i="5"/>
  <c r="M184" i="5" s="1"/>
  <c r="P183" i="5"/>
  <c r="N183" i="5"/>
  <c r="O183" i="5" s="1"/>
  <c r="L183" i="5"/>
  <c r="M183" i="5" s="1"/>
  <c r="P182" i="5"/>
  <c r="N182" i="5"/>
  <c r="O182" i="5" s="1"/>
  <c r="L182" i="5"/>
  <c r="M182" i="5" s="1"/>
  <c r="P181" i="5"/>
  <c r="N181" i="5"/>
  <c r="O181" i="5" s="1"/>
  <c r="L181" i="5"/>
  <c r="M181" i="5" s="1"/>
  <c r="P180" i="5"/>
  <c r="N180" i="5"/>
  <c r="O180" i="5" s="1"/>
  <c r="L180" i="5"/>
  <c r="M180" i="5" s="1"/>
  <c r="P179" i="5"/>
  <c r="N179" i="5"/>
  <c r="O179" i="5" s="1"/>
  <c r="L179" i="5"/>
  <c r="M179" i="5" s="1"/>
  <c r="P178" i="5"/>
  <c r="N178" i="5"/>
  <c r="O178" i="5" s="1"/>
  <c r="L178" i="5"/>
  <c r="M178" i="5" s="1"/>
  <c r="P177" i="5"/>
  <c r="N177" i="5"/>
  <c r="O177" i="5" s="1"/>
  <c r="L177" i="5"/>
  <c r="M177" i="5" s="1"/>
  <c r="P176" i="5"/>
  <c r="N176" i="5"/>
  <c r="O176" i="5" s="1"/>
  <c r="L176" i="5"/>
  <c r="M176" i="5" s="1"/>
  <c r="P175" i="5"/>
  <c r="N175" i="5"/>
  <c r="O175" i="5" s="1"/>
  <c r="L175" i="5"/>
  <c r="M175" i="5" s="1"/>
  <c r="P174" i="5"/>
  <c r="N174" i="5"/>
  <c r="O174" i="5" s="1"/>
  <c r="L174" i="5"/>
  <c r="M174" i="5" s="1"/>
  <c r="P173" i="5"/>
  <c r="N173" i="5"/>
  <c r="O173" i="5" s="1"/>
  <c r="L173" i="5"/>
  <c r="M173" i="5" s="1"/>
  <c r="P172" i="5"/>
  <c r="N172" i="5"/>
  <c r="O172" i="5" s="1"/>
  <c r="L172" i="5"/>
  <c r="M172" i="5" s="1"/>
  <c r="P171" i="5"/>
  <c r="N171" i="5"/>
  <c r="O171" i="5" s="1"/>
  <c r="L171" i="5"/>
  <c r="M171" i="5" s="1"/>
  <c r="P170" i="5"/>
  <c r="N170" i="5"/>
  <c r="O170" i="5" s="1"/>
  <c r="M170" i="5"/>
  <c r="L170" i="5"/>
  <c r="P169" i="5"/>
  <c r="N169" i="5"/>
  <c r="O169" i="5" s="1"/>
  <c r="L169" i="5"/>
  <c r="M169" i="5" s="1"/>
  <c r="P168" i="5"/>
  <c r="N168" i="5"/>
  <c r="O168" i="5" s="1"/>
  <c r="L168" i="5"/>
  <c r="M168" i="5" s="1"/>
  <c r="P167" i="5"/>
  <c r="N167" i="5"/>
  <c r="O167" i="5" s="1"/>
  <c r="L167" i="5"/>
  <c r="M167" i="5" s="1"/>
  <c r="P166" i="5"/>
  <c r="N166" i="5"/>
  <c r="O166" i="5" s="1"/>
  <c r="L166" i="5"/>
  <c r="M166" i="5" s="1"/>
  <c r="P165" i="5"/>
  <c r="N165" i="5"/>
  <c r="O165" i="5" s="1"/>
  <c r="L165" i="5"/>
  <c r="M165" i="5" s="1"/>
  <c r="P164" i="5"/>
  <c r="N164" i="5"/>
  <c r="O164" i="5" s="1"/>
  <c r="L164" i="5"/>
  <c r="M164" i="5" s="1"/>
  <c r="P163" i="5"/>
  <c r="N163" i="5"/>
  <c r="O163" i="5" s="1"/>
  <c r="L163" i="5"/>
  <c r="M163" i="5" s="1"/>
  <c r="P162" i="5"/>
  <c r="N162" i="5"/>
  <c r="O162" i="5" s="1"/>
  <c r="L162" i="5"/>
  <c r="M162" i="5" s="1"/>
  <c r="P161" i="5"/>
  <c r="N161" i="5"/>
  <c r="O161" i="5" s="1"/>
  <c r="L161" i="5"/>
  <c r="M161" i="5" s="1"/>
  <c r="P160" i="5"/>
  <c r="N160" i="5"/>
  <c r="O160" i="5" s="1"/>
  <c r="L160" i="5"/>
  <c r="M160" i="5" s="1"/>
  <c r="P159" i="5"/>
  <c r="N159" i="5"/>
  <c r="O159" i="5" s="1"/>
  <c r="L159" i="5"/>
  <c r="M159" i="5" s="1"/>
  <c r="P158" i="5"/>
  <c r="N158" i="5"/>
  <c r="O158" i="5" s="1"/>
  <c r="L158" i="5"/>
  <c r="M158" i="5" s="1"/>
  <c r="P157" i="5"/>
  <c r="N157" i="5"/>
  <c r="O157" i="5" s="1"/>
  <c r="L157" i="5"/>
  <c r="M157" i="5" s="1"/>
  <c r="P156" i="5"/>
  <c r="N156" i="5"/>
  <c r="O156" i="5" s="1"/>
  <c r="L156" i="5"/>
  <c r="M156" i="5" s="1"/>
  <c r="P155" i="5"/>
  <c r="N155" i="5"/>
  <c r="O155" i="5" s="1"/>
  <c r="L155" i="5"/>
  <c r="M155" i="5" s="1"/>
  <c r="P154" i="5"/>
  <c r="N154" i="5"/>
  <c r="O154" i="5" s="1"/>
  <c r="L154" i="5"/>
  <c r="M154" i="5" s="1"/>
  <c r="P153" i="5"/>
  <c r="N153" i="5"/>
  <c r="O153" i="5" s="1"/>
  <c r="L153" i="5"/>
  <c r="M153" i="5" s="1"/>
  <c r="P152" i="5"/>
  <c r="N152" i="5"/>
  <c r="O152" i="5" s="1"/>
  <c r="L152" i="5"/>
  <c r="M152" i="5" s="1"/>
  <c r="P151" i="5"/>
  <c r="N151" i="5"/>
  <c r="O151" i="5" s="1"/>
  <c r="L151" i="5"/>
  <c r="M151" i="5" s="1"/>
  <c r="P150" i="5"/>
  <c r="N150" i="5"/>
  <c r="O150" i="5" s="1"/>
  <c r="L150" i="5"/>
  <c r="M150" i="5" s="1"/>
  <c r="P149" i="5"/>
  <c r="N149" i="5"/>
  <c r="O149" i="5" s="1"/>
  <c r="M149" i="5"/>
  <c r="L149" i="5"/>
  <c r="P148" i="5"/>
  <c r="N148" i="5"/>
  <c r="O148" i="5" s="1"/>
  <c r="L148" i="5"/>
  <c r="M148" i="5" s="1"/>
  <c r="P147" i="5"/>
  <c r="N147" i="5"/>
  <c r="O147" i="5" s="1"/>
  <c r="L147" i="5"/>
  <c r="M147" i="5" s="1"/>
  <c r="P146" i="5"/>
  <c r="N146" i="5"/>
  <c r="O146" i="5" s="1"/>
  <c r="L146" i="5"/>
  <c r="M146" i="5" s="1"/>
  <c r="P145" i="5"/>
  <c r="N145" i="5"/>
  <c r="O145" i="5" s="1"/>
  <c r="L145" i="5"/>
  <c r="M145" i="5" s="1"/>
  <c r="P144" i="5"/>
  <c r="N144" i="5"/>
  <c r="O144" i="5" s="1"/>
  <c r="L144" i="5"/>
  <c r="M144" i="5" s="1"/>
  <c r="P143" i="5"/>
  <c r="N143" i="5"/>
  <c r="O143" i="5" s="1"/>
  <c r="L143" i="5"/>
  <c r="M143" i="5" s="1"/>
  <c r="P142" i="5"/>
  <c r="N142" i="5"/>
  <c r="O142" i="5" s="1"/>
  <c r="L142" i="5"/>
  <c r="M142" i="5" s="1"/>
  <c r="P141" i="5"/>
  <c r="N141" i="5"/>
  <c r="O141" i="5" s="1"/>
  <c r="L141" i="5"/>
  <c r="M141" i="5" s="1"/>
  <c r="P140" i="5"/>
  <c r="N140" i="5"/>
  <c r="O140" i="5" s="1"/>
  <c r="L140" i="5"/>
  <c r="M140" i="5" s="1"/>
  <c r="P139" i="5"/>
  <c r="N139" i="5"/>
  <c r="O139" i="5" s="1"/>
  <c r="L139" i="5"/>
  <c r="M139" i="5" s="1"/>
  <c r="P138" i="5"/>
  <c r="N138" i="5"/>
  <c r="O138" i="5" s="1"/>
  <c r="L138" i="5"/>
  <c r="M138" i="5" s="1"/>
  <c r="P137" i="5"/>
  <c r="N137" i="5"/>
  <c r="O137" i="5" s="1"/>
  <c r="L137" i="5"/>
  <c r="M137" i="5" s="1"/>
  <c r="P136" i="5"/>
  <c r="N136" i="5"/>
  <c r="O136" i="5" s="1"/>
  <c r="L136" i="5"/>
  <c r="M136" i="5" s="1"/>
  <c r="P135" i="5"/>
  <c r="N135" i="5"/>
  <c r="O135" i="5" s="1"/>
  <c r="L135" i="5"/>
  <c r="M135" i="5" s="1"/>
  <c r="P134" i="5"/>
  <c r="N134" i="5"/>
  <c r="O134" i="5" s="1"/>
  <c r="L134" i="5"/>
  <c r="M134" i="5" s="1"/>
  <c r="P133" i="5"/>
  <c r="N133" i="5"/>
  <c r="O133" i="5" s="1"/>
  <c r="L133" i="5"/>
  <c r="M133" i="5" s="1"/>
  <c r="P132" i="5"/>
  <c r="N132" i="5"/>
  <c r="O132" i="5" s="1"/>
  <c r="L132" i="5"/>
  <c r="M132" i="5" s="1"/>
  <c r="P131" i="5"/>
  <c r="N131" i="5"/>
  <c r="O131" i="5" s="1"/>
  <c r="L131" i="5"/>
  <c r="M131" i="5" s="1"/>
  <c r="P130" i="5"/>
  <c r="N130" i="5"/>
  <c r="O130" i="5" s="1"/>
  <c r="L130" i="5"/>
  <c r="M130" i="5" s="1"/>
  <c r="P129" i="5"/>
  <c r="N129" i="5"/>
  <c r="O129" i="5" s="1"/>
  <c r="L129" i="5"/>
  <c r="M129" i="5" s="1"/>
  <c r="P128" i="5"/>
  <c r="N128" i="5"/>
  <c r="O128" i="5" s="1"/>
  <c r="L128" i="5"/>
  <c r="M128" i="5" s="1"/>
  <c r="P127" i="5"/>
  <c r="N127" i="5"/>
  <c r="O127" i="5" s="1"/>
  <c r="L127" i="5"/>
  <c r="M127" i="5" s="1"/>
  <c r="P126" i="5"/>
  <c r="N126" i="5"/>
  <c r="O126" i="5" s="1"/>
  <c r="L126" i="5"/>
  <c r="M126" i="5" s="1"/>
  <c r="P125" i="5"/>
  <c r="N125" i="5"/>
  <c r="O125" i="5" s="1"/>
  <c r="L125" i="5"/>
  <c r="M125" i="5" s="1"/>
  <c r="P124" i="5"/>
  <c r="N124" i="5"/>
  <c r="O124" i="5" s="1"/>
  <c r="L124" i="5"/>
  <c r="M124" i="5" s="1"/>
  <c r="P123" i="5"/>
  <c r="N123" i="5"/>
  <c r="O123" i="5" s="1"/>
  <c r="L123" i="5"/>
  <c r="M123" i="5" s="1"/>
  <c r="P122" i="5"/>
  <c r="N122" i="5"/>
  <c r="O122" i="5" s="1"/>
  <c r="L122" i="5"/>
  <c r="M122" i="5" s="1"/>
  <c r="P121" i="5"/>
  <c r="N121" i="5"/>
  <c r="O121" i="5" s="1"/>
  <c r="L121" i="5"/>
  <c r="M121" i="5" s="1"/>
  <c r="P120" i="5"/>
  <c r="N120" i="5"/>
  <c r="O120" i="5" s="1"/>
  <c r="L120" i="5"/>
  <c r="M120" i="5" s="1"/>
  <c r="P119" i="5"/>
  <c r="N119" i="5"/>
  <c r="O119" i="5" s="1"/>
  <c r="L119" i="5"/>
  <c r="M119" i="5" s="1"/>
  <c r="P118" i="5"/>
  <c r="N118" i="5"/>
  <c r="O118" i="5" s="1"/>
  <c r="L118" i="5"/>
  <c r="M118" i="5" s="1"/>
  <c r="P117" i="5"/>
  <c r="N117" i="5"/>
  <c r="O117" i="5" s="1"/>
  <c r="L117" i="5"/>
  <c r="M117" i="5" s="1"/>
  <c r="P116" i="5"/>
  <c r="N116" i="5"/>
  <c r="O116" i="5" s="1"/>
  <c r="L116" i="5"/>
  <c r="M116" i="5" s="1"/>
  <c r="P115" i="5"/>
  <c r="N115" i="5"/>
  <c r="O115" i="5" s="1"/>
  <c r="L115" i="5"/>
  <c r="M115" i="5" s="1"/>
  <c r="P114" i="5"/>
  <c r="N114" i="5"/>
  <c r="O114" i="5" s="1"/>
  <c r="L114" i="5"/>
  <c r="M114" i="5" s="1"/>
  <c r="P113" i="5"/>
  <c r="N113" i="5"/>
  <c r="O113" i="5" s="1"/>
  <c r="L113" i="5"/>
  <c r="M113" i="5" s="1"/>
  <c r="P112" i="5"/>
  <c r="N112" i="5"/>
  <c r="O112" i="5" s="1"/>
  <c r="L112" i="5"/>
  <c r="M112" i="5" s="1"/>
  <c r="P111" i="5"/>
  <c r="N111" i="5"/>
  <c r="O111" i="5" s="1"/>
  <c r="L111" i="5"/>
  <c r="M111" i="5" s="1"/>
  <c r="P110" i="5"/>
  <c r="N110" i="5"/>
  <c r="O110" i="5" s="1"/>
  <c r="L110" i="5"/>
  <c r="M110" i="5" s="1"/>
  <c r="P109" i="5"/>
  <c r="N109" i="5"/>
  <c r="O109" i="5" s="1"/>
  <c r="L109" i="5"/>
  <c r="M109" i="5" s="1"/>
  <c r="P108" i="5"/>
  <c r="N108" i="5"/>
  <c r="O108" i="5" s="1"/>
  <c r="L108" i="5"/>
  <c r="M108" i="5" s="1"/>
  <c r="P107" i="5"/>
  <c r="N107" i="5"/>
  <c r="O107" i="5" s="1"/>
  <c r="L107" i="5"/>
  <c r="M107" i="5" s="1"/>
  <c r="P106" i="5"/>
  <c r="N106" i="5"/>
  <c r="O106" i="5" s="1"/>
  <c r="L106" i="5"/>
  <c r="M106" i="5" s="1"/>
  <c r="P105" i="5"/>
  <c r="N105" i="5"/>
  <c r="O105" i="5" s="1"/>
  <c r="L105" i="5"/>
  <c r="M105" i="5" s="1"/>
  <c r="P104" i="5"/>
  <c r="N104" i="5"/>
  <c r="O104" i="5" s="1"/>
  <c r="L104" i="5"/>
  <c r="M104" i="5" s="1"/>
  <c r="P103" i="5"/>
  <c r="N103" i="5"/>
  <c r="O103" i="5" s="1"/>
  <c r="L103" i="5"/>
  <c r="M103" i="5" s="1"/>
  <c r="P102" i="5"/>
  <c r="N102" i="5"/>
  <c r="O102" i="5" s="1"/>
  <c r="L102" i="5"/>
  <c r="M102" i="5" s="1"/>
  <c r="P101" i="5"/>
  <c r="N101" i="5"/>
  <c r="O101" i="5" s="1"/>
  <c r="L101" i="5"/>
  <c r="M101" i="5" s="1"/>
  <c r="P100" i="5"/>
  <c r="N100" i="5"/>
  <c r="O100" i="5" s="1"/>
  <c r="L100" i="5"/>
  <c r="M100" i="5" s="1"/>
  <c r="P99" i="5"/>
  <c r="N99" i="5"/>
  <c r="O99" i="5" s="1"/>
  <c r="L99" i="5"/>
  <c r="M99" i="5" s="1"/>
  <c r="P98" i="5"/>
  <c r="N98" i="5"/>
  <c r="O98" i="5" s="1"/>
  <c r="L98" i="5"/>
  <c r="M98" i="5" s="1"/>
  <c r="P97" i="5"/>
  <c r="N97" i="5"/>
  <c r="O97" i="5" s="1"/>
  <c r="L97" i="5"/>
  <c r="M97" i="5" s="1"/>
  <c r="P96" i="5"/>
  <c r="N96" i="5"/>
  <c r="O96" i="5" s="1"/>
  <c r="L96" i="5"/>
  <c r="M96" i="5" s="1"/>
  <c r="P95" i="5"/>
  <c r="N95" i="5"/>
  <c r="O95" i="5" s="1"/>
  <c r="L95" i="5"/>
  <c r="M95" i="5" s="1"/>
  <c r="P94" i="5"/>
  <c r="N94" i="5"/>
  <c r="O94" i="5" s="1"/>
  <c r="L94" i="5"/>
  <c r="M94" i="5" s="1"/>
  <c r="P93" i="5"/>
  <c r="N93" i="5"/>
  <c r="O93" i="5" s="1"/>
  <c r="L93" i="5"/>
  <c r="M93" i="5" s="1"/>
  <c r="P92" i="5"/>
  <c r="N92" i="5"/>
  <c r="O92" i="5" s="1"/>
  <c r="L92" i="5"/>
  <c r="M92" i="5" s="1"/>
  <c r="P91" i="5"/>
  <c r="N91" i="5"/>
  <c r="O91" i="5" s="1"/>
  <c r="L91" i="5"/>
  <c r="M91" i="5" s="1"/>
  <c r="P90" i="5"/>
  <c r="N90" i="5"/>
  <c r="O90" i="5" s="1"/>
  <c r="L90" i="5"/>
  <c r="M90" i="5" s="1"/>
  <c r="P89" i="5"/>
  <c r="N89" i="5"/>
  <c r="O89" i="5" s="1"/>
  <c r="L89" i="5"/>
  <c r="M89" i="5" s="1"/>
  <c r="P88" i="5"/>
  <c r="N88" i="5"/>
  <c r="O88" i="5" s="1"/>
  <c r="L88" i="5"/>
  <c r="M88" i="5" s="1"/>
  <c r="P87" i="5"/>
  <c r="N87" i="5"/>
  <c r="O87" i="5" s="1"/>
  <c r="L87" i="5"/>
  <c r="M87" i="5" s="1"/>
  <c r="P86" i="5"/>
  <c r="N86" i="5"/>
  <c r="O86" i="5" s="1"/>
  <c r="L86" i="5"/>
  <c r="M86" i="5" s="1"/>
  <c r="P85" i="5"/>
  <c r="N85" i="5"/>
  <c r="O85" i="5" s="1"/>
  <c r="L85" i="5"/>
  <c r="M85" i="5" s="1"/>
  <c r="P84" i="5"/>
  <c r="N84" i="5"/>
  <c r="O84" i="5" s="1"/>
  <c r="L84" i="5"/>
  <c r="M84" i="5" s="1"/>
  <c r="P83" i="5"/>
  <c r="N83" i="5"/>
  <c r="O83" i="5" s="1"/>
  <c r="L83" i="5"/>
  <c r="M83" i="5" s="1"/>
  <c r="P82" i="5"/>
  <c r="N82" i="5"/>
  <c r="O82" i="5" s="1"/>
  <c r="L82" i="5"/>
  <c r="M82" i="5" s="1"/>
  <c r="P81" i="5"/>
  <c r="N81" i="5"/>
  <c r="O81" i="5" s="1"/>
  <c r="L81" i="5"/>
  <c r="M81" i="5" s="1"/>
  <c r="P80" i="5"/>
  <c r="N80" i="5"/>
  <c r="O80" i="5" s="1"/>
  <c r="L80" i="5"/>
  <c r="M80" i="5" s="1"/>
  <c r="P79" i="5"/>
  <c r="N79" i="5"/>
  <c r="O79" i="5" s="1"/>
  <c r="L79" i="5"/>
  <c r="M79" i="5" s="1"/>
  <c r="P78" i="5"/>
  <c r="N78" i="5"/>
  <c r="O78" i="5" s="1"/>
  <c r="L78" i="5"/>
  <c r="M78" i="5" s="1"/>
  <c r="P77" i="5"/>
  <c r="N77" i="5"/>
  <c r="O77" i="5" s="1"/>
  <c r="L77" i="5"/>
  <c r="M77" i="5" s="1"/>
  <c r="P76" i="5"/>
  <c r="N76" i="5"/>
  <c r="O76" i="5" s="1"/>
  <c r="L76" i="5"/>
  <c r="M76" i="5" s="1"/>
  <c r="P75" i="5"/>
  <c r="N75" i="5"/>
  <c r="O75" i="5" s="1"/>
  <c r="L75" i="5"/>
  <c r="M75" i="5" s="1"/>
  <c r="P74" i="5"/>
  <c r="N74" i="5"/>
  <c r="O74" i="5" s="1"/>
  <c r="L74" i="5"/>
  <c r="M74" i="5" s="1"/>
  <c r="P73" i="5"/>
  <c r="N73" i="5"/>
  <c r="O73" i="5" s="1"/>
  <c r="L73" i="5"/>
  <c r="M73" i="5" s="1"/>
  <c r="P72" i="5"/>
  <c r="N72" i="5"/>
  <c r="O72" i="5" s="1"/>
  <c r="L72" i="5"/>
  <c r="M72" i="5" s="1"/>
  <c r="P71" i="5"/>
  <c r="N71" i="5"/>
  <c r="O71" i="5" s="1"/>
  <c r="L71" i="5"/>
  <c r="M71" i="5" s="1"/>
  <c r="P70" i="5"/>
  <c r="N70" i="5"/>
  <c r="O70" i="5" s="1"/>
  <c r="L70" i="5"/>
  <c r="M70" i="5" s="1"/>
  <c r="P69" i="5"/>
  <c r="N69" i="5"/>
  <c r="O69" i="5" s="1"/>
  <c r="L69" i="5"/>
  <c r="M69" i="5" s="1"/>
  <c r="P68" i="5"/>
  <c r="N68" i="5"/>
  <c r="O68" i="5" s="1"/>
  <c r="L68" i="5"/>
  <c r="M68" i="5" s="1"/>
  <c r="P67" i="5"/>
  <c r="N67" i="5"/>
  <c r="O67" i="5" s="1"/>
  <c r="L67" i="5"/>
  <c r="M67" i="5" s="1"/>
  <c r="P66" i="5"/>
  <c r="N66" i="5"/>
  <c r="O66" i="5" s="1"/>
  <c r="L66" i="5"/>
  <c r="M66" i="5" s="1"/>
  <c r="P65" i="5"/>
  <c r="N65" i="5"/>
  <c r="O65" i="5" s="1"/>
  <c r="L65" i="5"/>
  <c r="M65" i="5" s="1"/>
  <c r="P64" i="5"/>
  <c r="N64" i="5"/>
  <c r="O64" i="5" s="1"/>
  <c r="L64" i="5"/>
  <c r="M64" i="5" s="1"/>
  <c r="P63" i="5"/>
  <c r="N63" i="5"/>
  <c r="O63" i="5" s="1"/>
  <c r="L63" i="5"/>
  <c r="M63" i="5" s="1"/>
  <c r="P62" i="5"/>
  <c r="N62" i="5"/>
  <c r="O62" i="5" s="1"/>
  <c r="L62" i="5"/>
  <c r="M62" i="5" s="1"/>
  <c r="P61" i="5"/>
  <c r="N61" i="5"/>
  <c r="O61" i="5" s="1"/>
  <c r="L61" i="5"/>
  <c r="M61" i="5" s="1"/>
  <c r="P60" i="5"/>
  <c r="N60" i="5"/>
  <c r="O60" i="5" s="1"/>
  <c r="L60" i="5"/>
  <c r="M60" i="5" s="1"/>
  <c r="P59" i="5"/>
  <c r="N59" i="5"/>
  <c r="O59" i="5" s="1"/>
  <c r="L59" i="5"/>
  <c r="M59" i="5" s="1"/>
  <c r="P58" i="5"/>
  <c r="N58" i="5"/>
  <c r="O58" i="5" s="1"/>
  <c r="L58" i="5"/>
  <c r="M58" i="5" s="1"/>
  <c r="P57" i="5"/>
  <c r="N57" i="5"/>
  <c r="O57" i="5" s="1"/>
  <c r="L57" i="5"/>
  <c r="M57" i="5" s="1"/>
  <c r="P56" i="5"/>
  <c r="N56" i="5"/>
  <c r="O56" i="5" s="1"/>
  <c r="L56" i="5"/>
  <c r="M56" i="5" s="1"/>
  <c r="P55" i="5"/>
  <c r="N55" i="5"/>
  <c r="O55" i="5" s="1"/>
  <c r="L55" i="5"/>
  <c r="M55" i="5" s="1"/>
  <c r="P54" i="5"/>
  <c r="N54" i="5"/>
  <c r="O54" i="5" s="1"/>
  <c r="L54" i="5"/>
  <c r="M54" i="5" s="1"/>
  <c r="P53" i="5"/>
  <c r="N53" i="5"/>
  <c r="O53" i="5" s="1"/>
  <c r="L53" i="5"/>
  <c r="M53" i="5" s="1"/>
  <c r="P52" i="5"/>
  <c r="N52" i="5"/>
  <c r="O52" i="5" s="1"/>
  <c r="L52" i="5"/>
  <c r="M52" i="5" s="1"/>
  <c r="P51" i="5"/>
  <c r="N51" i="5"/>
  <c r="O51" i="5" s="1"/>
  <c r="L51" i="5"/>
  <c r="M51" i="5" s="1"/>
  <c r="P50" i="5"/>
  <c r="N50" i="5"/>
  <c r="O50" i="5" s="1"/>
  <c r="L50" i="5"/>
  <c r="M50" i="5" s="1"/>
  <c r="P49" i="5"/>
  <c r="N49" i="5"/>
  <c r="O49" i="5" s="1"/>
  <c r="L49" i="5"/>
  <c r="M49" i="5" s="1"/>
  <c r="P48" i="5"/>
  <c r="N48" i="5"/>
  <c r="O48" i="5" s="1"/>
  <c r="L48" i="5"/>
  <c r="M48" i="5" s="1"/>
  <c r="P47" i="5"/>
  <c r="N47" i="5"/>
  <c r="O47" i="5" s="1"/>
  <c r="L47" i="5"/>
  <c r="M47" i="5" s="1"/>
  <c r="P46" i="5"/>
  <c r="N46" i="5"/>
  <c r="O46" i="5" s="1"/>
  <c r="L46" i="5"/>
  <c r="M46" i="5" s="1"/>
  <c r="P45" i="5"/>
  <c r="N45" i="5"/>
  <c r="O45" i="5" s="1"/>
  <c r="L45" i="5"/>
  <c r="M45" i="5" s="1"/>
  <c r="P44" i="5"/>
  <c r="N44" i="5"/>
  <c r="O44" i="5" s="1"/>
  <c r="L44" i="5"/>
  <c r="M44" i="5" s="1"/>
  <c r="P43" i="5"/>
  <c r="N43" i="5"/>
  <c r="O43" i="5" s="1"/>
  <c r="L43" i="5"/>
  <c r="M43" i="5" s="1"/>
  <c r="P42" i="5"/>
  <c r="N42" i="5"/>
  <c r="O42" i="5" s="1"/>
  <c r="L42" i="5"/>
  <c r="M42" i="5" s="1"/>
  <c r="P41" i="5"/>
  <c r="N41" i="5"/>
  <c r="O41" i="5" s="1"/>
  <c r="L41" i="5"/>
  <c r="M41" i="5" s="1"/>
  <c r="P40" i="5"/>
  <c r="N40" i="5"/>
  <c r="O40" i="5" s="1"/>
  <c r="L40" i="5"/>
  <c r="M40" i="5" s="1"/>
  <c r="P39" i="5"/>
  <c r="N39" i="5"/>
  <c r="O39" i="5" s="1"/>
  <c r="L39" i="5"/>
  <c r="M39" i="5" s="1"/>
  <c r="P38" i="5"/>
  <c r="N38" i="5"/>
  <c r="O38" i="5" s="1"/>
  <c r="L38" i="5"/>
  <c r="M38" i="5" s="1"/>
  <c r="P37" i="5"/>
  <c r="N37" i="5"/>
  <c r="O37" i="5" s="1"/>
  <c r="L37" i="5"/>
  <c r="M37" i="5" s="1"/>
  <c r="P36" i="5"/>
  <c r="N36" i="5"/>
  <c r="O36" i="5" s="1"/>
  <c r="L36" i="5"/>
  <c r="M36" i="5" s="1"/>
  <c r="P35" i="5"/>
  <c r="N35" i="5"/>
  <c r="O35" i="5" s="1"/>
  <c r="L35" i="5"/>
  <c r="M35" i="5" s="1"/>
  <c r="P34" i="5"/>
  <c r="N34" i="5"/>
  <c r="O34" i="5" s="1"/>
  <c r="L34" i="5"/>
  <c r="M34" i="5" s="1"/>
  <c r="P33" i="5"/>
  <c r="N33" i="5"/>
  <c r="O33" i="5" s="1"/>
  <c r="L33" i="5"/>
  <c r="M33" i="5" s="1"/>
  <c r="P32" i="5"/>
  <c r="N32" i="5"/>
  <c r="O32" i="5" s="1"/>
  <c r="L32" i="5"/>
  <c r="M32" i="5" s="1"/>
  <c r="P31" i="5"/>
  <c r="N31" i="5"/>
  <c r="O31" i="5" s="1"/>
  <c r="L31" i="5"/>
  <c r="M31" i="5" s="1"/>
  <c r="P30" i="5"/>
  <c r="N30" i="5"/>
  <c r="O30" i="5" s="1"/>
  <c r="L30" i="5"/>
  <c r="M30" i="5" s="1"/>
  <c r="P29" i="5"/>
  <c r="N29" i="5"/>
  <c r="O29" i="5" s="1"/>
  <c r="L29" i="5"/>
  <c r="M29" i="5" s="1"/>
  <c r="P28" i="5"/>
  <c r="N28" i="5"/>
  <c r="O28" i="5" s="1"/>
  <c r="L28" i="5"/>
  <c r="M28" i="5" s="1"/>
  <c r="P27" i="5"/>
  <c r="N27" i="5"/>
  <c r="O27" i="5" s="1"/>
  <c r="L27" i="5"/>
  <c r="M27" i="5" s="1"/>
  <c r="P26" i="5"/>
  <c r="N26" i="5"/>
  <c r="O26" i="5" s="1"/>
  <c r="L26" i="5"/>
  <c r="M26" i="5" s="1"/>
  <c r="P25" i="5"/>
  <c r="N25" i="5"/>
  <c r="O25" i="5" s="1"/>
  <c r="L25" i="5"/>
  <c r="M25" i="5" s="1"/>
  <c r="P24" i="5"/>
  <c r="N24" i="5"/>
  <c r="O24" i="5" s="1"/>
  <c r="L24" i="5"/>
  <c r="M24" i="5" s="1"/>
  <c r="P23" i="5"/>
  <c r="N23" i="5"/>
  <c r="O23" i="5" s="1"/>
  <c r="L23" i="5"/>
  <c r="M23" i="5" s="1"/>
  <c r="P22" i="5"/>
  <c r="N22" i="5"/>
  <c r="O22" i="5" s="1"/>
  <c r="L22" i="5"/>
  <c r="M22" i="5" s="1"/>
  <c r="P21" i="5"/>
  <c r="N21" i="5"/>
  <c r="O21" i="5" s="1"/>
  <c r="L21" i="5"/>
  <c r="M21" i="5" s="1"/>
  <c r="P20" i="5"/>
  <c r="N20" i="5"/>
  <c r="O20" i="5" s="1"/>
  <c r="L20" i="5"/>
  <c r="M20" i="5" s="1"/>
  <c r="P19" i="5"/>
  <c r="N19" i="5"/>
  <c r="O19" i="5" s="1"/>
  <c r="L19" i="5"/>
  <c r="M19" i="5" s="1"/>
  <c r="P18" i="5"/>
  <c r="N18" i="5"/>
  <c r="O18" i="5" s="1"/>
  <c r="L18" i="5"/>
  <c r="M18" i="5" s="1"/>
  <c r="P17" i="5"/>
  <c r="N17" i="5"/>
  <c r="O17" i="5" s="1"/>
  <c r="L17" i="5"/>
  <c r="M17" i="5" s="1"/>
  <c r="P16" i="5"/>
  <c r="N16" i="5"/>
  <c r="O16" i="5" s="1"/>
  <c r="L16" i="5"/>
  <c r="M16" i="5" s="1"/>
  <c r="P15" i="5"/>
  <c r="N15" i="5"/>
  <c r="O15" i="5" s="1"/>
  <c r="L15" i="5"/>
  <c r="M15" i="5" s="1"/>
  <c r="P14" i="5"/>
  <c r="N14" i="5"/>
  <c r="O14" i="5" s="1"/>
  <c r="L14" i="5"/>
  <c r="M14" i="5" s="1"/>
  <c r="P13" i="5"/>
  <c r="N13" i="5"/>
  <c r="O13" i="5" s="1"/>
  <c r="L13" i="5"/>
  <c r="M13" i="5" s="1"/>
  <c r="P12" i="5"/>
  <c r="N12" i="5"/>
  <c r="O12" i="5" s="1"/>
  <c r="L12" i="5"/>
  <c r="M12" i="5" s="1"/>
  <c r="P11" i="5"/>
  <c r="N11" i="5"/>
  <c r="O11" i="5" s="1"/>
  <c r="L11" i="5"/>
  <c r="M11" i="5" s="1"/>
  <c r="P10" i="5"/>
  <c r="N10" i="5"/>
  <c r="O10" i="5" s="1"/>
  <c r="L10" i="5"/>
  <c r="M10" i="5" s="1"/>
  <c r="P9" i="5"/>
  <c r="N9" i="5"/>
  <c r="O9" i="5" s="1"/>
  <c r="L9" i="5"/>
  <c r="M9" i="5" s="1"/>
  <c r="P8" i="5"/>
  <c r="N8" i="5"/>
  <c r="O8" i="5" s="1"/>
  <c r="L8" i="5"/>
  <c r="M8" i="5" s="1"/>
  <c r="P7" i="5"/>
  <c r="N7" i="5"/>
  <c r="O7" i="5" s="1"/>
  <c r="L7" i="5"/>
  <c r="M7" i="5" s="1"/>
  <c r="P6" i="5"/>
  <c r="N6" i="5"/>
  <c r="O6" i="5" s="1"/>
  <c r="L6" i="5"/>
  <c r="M6" i="5" s="1"/>
  <c r="P5" i="5"/>
  <c r="N5" i="5"/>
  <c r="O5" i="5" s="1"/>
  <c r="L5" i="5"/>
  <c r="M5" i="5" s="1"/>
  <c r="P4" i="5"/>
  <c r="N4" i="5"/>
  <c r="O4" i="5" s="1"/>
  <c r="L4" i="5"/>
  <c r="M4" i="5" s="1"/>
  <c r="P3" i="5"/>
  <c r="N3" i="5"/>
  <c r="O3" i="5" s="1"/>
  <c r="L3" i="5"/>
  <c r="M3" i="5" s="1"/>
  <c r="P2" i="5"/>
  <c r="N2" i="5"/>
  <c r="O2" i="5" s="1"/>
  <c r="L2" i="5"/>
  <c r="M2" i="5" s="1"/>
  <c r="C23" i="1"/>
  <c r="D10" i="10" l="1"/>
  <c r="C14" i="10"/>
  <c r="A17" i="10" s="1"/>
</calcChain>
</file>

<file path=xl/sharedStrings.xml><?xml version="1.0" encoding="utf-8"?>
<sst xmlns="http://schemas.openxmlformats.org/spreadsheetml/2006/main" count="3208" uniqueCount="805">
  <si>
    <t>T42  Social media post optimiser</t>
  </si>
  <si>
    <t>Mini project | 30 marks | Build something with free LLM tools</t>
  </si>
  <si>
    <t>Task ID</t>
  </si>
  <si>
    <t>T42</t>
  </si>
  <si>
    <t>Task</t>
  </si>
  <si>
    <t>Social media post optimiser</t>
  </si>
  <si>
    <t>Theme</t>
  </si>
  <si>
    <t>AI text analytics</t>
  </si>
  <si>
    <t>Suggested free tools</t>
  </si>
  <si>
    <t>Free tiers of ChatGPT, Gemini, Claude or Microsoft Copilot; Excel / Google Sheets to score results</t>
  </si>
  <si>
    <t>What students do</t>
  </si>
  <si>
    <t>1. Analyse which format, topic and posting time drive engagement.
2. Ask an LLM to explain patterns; verify with pivots.
3. Generate 10 new posts following the winning pattern.
4. Build a posting-rules card for the social team.</t>
  </si>
  <si>
    <t>Deliverables</t>
  </si>
  <si>
    <t>Engagement analysis; 10 new posts; rules card; AI-use log</t>
  </si>
  <si>
    <t>Dataset in this file</t>
  </si>
  <si>
    <t>250 social posts with reach and engagement
- 'Posts' sheet: 250 rows x 11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</si>
  <si>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</si>
  <si>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</si>
  <si>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</si>
  <si>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</si>
  <si>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</si>
  <si>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</si>
  <si>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</si>
  <si>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</si>
  <si>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</si>
  <si>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</si>
  <si>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</si>
  <si>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</si>
  <si>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</si>
  <si>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</si>
  <si>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</si>
  <si>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</si>
  <si>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</si>
  <si>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</si>
  <si>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</si>
  <si>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</si>
  <si>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</si>
  <si>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</si>
  <si>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</si>
  <si>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</si>
  <si>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</si>
  <si>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</si>
  <si>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</si>
  <si>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</si>
  <si>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</si>
  <si>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</si>
  <si>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</si>
  <si>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</si>
  <si>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</si>
  <si>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</si>
  <si>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</si>
  <si>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</si>
  <si>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</si>
  <si>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</si>
  <si>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</si>
  <si>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</si>
  <si>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</si>
  <si>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</si>
  <si>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</si>
  <si>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</si>
  <si>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</si>
  <si>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</si>
  <si>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post_id</t>
  </si>
  <si>
    <t>posted_at</t>
  </si>
  <si>
    <t>platform</t>
  </si>
  <si>
    <t>format</t>
  </si>
  <si>
    <t>topic</t>
  </si>
  <si>
    <t>caption</t>
  </si>
  <si>
    <t>reach</t>
  </si>
  <si>
    <t>likes</t>
  </si>
  <si>
    <t>comments</t>
  </si>
  <si>
    <t>shares</t>
  </si>
  <si>
    <t>link_clicks</t>
  </si>
  <si>
    <t>PST0001</t>
  </si>
  <si>
    <t>Instagram</t>
  </si>
  <si>
    <t>Carousel</t>
  </si>
  <si>
    <t>Product launch</t>
  </si>
  <si>
    <t>You asked, we listened. Smartwatch #KartNova</t>
  </si>
  <si>
    <t>PST0002</t>
  </si>
  <si>
    <t>Facebook</t>
  </si>
  <si>
    <t>Reel</t>
  </si>
  <si>
    <t>How-to tip</t>
  </si>
  <si>
    <t>Giveaway time! Smartwatch</t>
  </si>
  <si>
    <t>PST0003</t>
  </si>
  <si>
    <t>LinkedIn</t>
  </si>
  <si>
    <t>Static image</t>
  </si>
  <si>
    <t>3 ways to use Cotton Kurta #MadeInIndia</t>
  </si>
  <si>
    <t>PST0004</t>
  </si>
  <si>
    <t>Behind the scenes</t>
  </si>
  <si>
    <t>Weekend vibes with Mixer Grinder</t>
  </si>
  <si>
    <t>PST0005</t>
  </si>
  <si>
    <t>Customer testimonial</t>
  </si>
  <si>
    <t>Our customer says it best: Running Shoes #DiwaliDeals</t>
  </si>
  <si>
    <t>PST0006</t>
  </si>
  <si>
    <t>Meme/trend</t>
  </si>
  <si>
    <t>Weekend vibes with Mixer Grinder #MadeInIndia</t>
  </si>
  <si>
    <t>PST0007</t>
  </si>
  <si>
    <t>Text post</t>
  </si>
  <si>
    <t>Meet the team behind Face Serum #DiwaliDeals</t>
  </si>
  <si>
    <t>PST0008</t>
  </si>
  <si>
    <t>YouTube Shorts</t>
  </si>
  <si>
    <t>New drop alert! Wireless Earbuds</t>
  </si>
  <si>
    <t>PST0009</t>
  </si>
  <si>
    <t>Festive savings on Cotton Kurta #KartNova</t>
  </si>
  <si>
    <t>PST0010</t>
  </si>
  <si>
    <t>3 ways to use Smartwatch #DiwaliDeals</t>
  </si>
  <si>
    <t>PST0011</t>
  </si>
  <si>
    <t>Our customer says it best: Smartwatch #MadeInIndia</t>
  </si>
  <si>
    <t>PST0012</t>
  </si>
  <si>
    <t>3 ways to use Power Bank #KartNova</t>
  </si>
  <si>
    <t>PST0013</t>
  </si>
  <si>
    <t>Giveaway</t>
  </si>
  <si>
    <t>PST0014</t>
  </si>
  <si>
    <t>Our customer says it best: Smartwatch</t>
  </si>
  <si>
    <t>PST0015</t>
  </si>
  <si>
    <t>Founder story</t>
  </si>
  <si>
    <t>New drop alert! Face Serum #MadeInIndia</t>
  </si>
  <si>
    <t>PST0016</t>
  </si>
  <si>
    <t>Our customer says it best: Mixer Grinder #MadeInIndia</t>
  </si>
  <si>
    <t>PST0017</t>
  </si>
  <si>
    <t>Meet the team behind Wireless Earbuds #DiwaliDeals</t>
  </si>
  <si>
    <t>PST0018</t>
  </si>
  <si>
    <t>Festive savings on Smartwatch #DiwaliDeals</t>
  </si>
  <si>
    <t>PST0019</t>
  </si>
  <si>
    <t>Weekend vibes with Face Serum</t>
  </si>
  <si>
    <t>PST0020</t>
  </si>
  <si>
    <t>Festive savings on Mixer Grinder #DiwaliDeals</t>
  </si>
  <si>
    <t>PST0021</t>
  </si>
  <si>
    <t>Story</t>
  </si>
  <si>
    <t>Festive savings on Smartwatch #MadeInIndia</t>
  </si>
  <si>
    <t>PST0022</t>
  </si>
  <si>
    <t>Festive offer</t>
  </si>
  <si>
    <t>New drop alert! Running Shoes</t>
  </si>
  <si>
    <t>PST0023</t>
  </si>
  <si>
    <t>Festive savings on Face Serum #MadeInIndia</t>
  </si>
  <si>
    <t>PST0024</t>
  </si>
  <si>
    <t>3 ways to use Face Serum #MadeInIndia</t>
  </si>
  <si>
    <t>PST0025</t>
  </si>
  <si>
    <t>Meet the team behind Mixer Grinder #DiwaliDeals</t>
  </si>
  <si>
    <t>PST0026</t>
  </si>
  <si>
    <t>Meet the team behind Power Bank #MadeInIndia</t>
  </si>
  <si>
    <t>PST0027</t>
  </si>
  <si>
    <t>Giveaway time! Face Serum #DiwaliDeals</t>
  </si>
  <si>
    <t>PST0028</t>
  </si>
  <si>
    <t>New drop alert! Cotton Kurta</t>
  </si>
  <si>
    <t>PST0029</t>
  </si>
  <si>
    <t>Meet the team behind Wireless Earbuds #ShopLocal</t>
  </si>
  <si>
    <t>PST0030</t>
  </si>
  <si>
    <t>Giveaway time! Air Fryer #ShopLocal</t>
  </si>
  <si>
    <t>PST0031</t>
  </si>
  <si>
    <t>New drop alert! Cotton Kurta #MadeInIndia</t>
  </si>
  <si>
    <t>PST0032</t>
  </si>
  <si>
    <t>New drop alert! Power Bank #DiwaliDeals</t>
  </si>
  <si>
    <t>PST0033</t>
  </si>
  <si>
    <t>3 ways to use Face Serum</t>
  </si>
  <si>
    <t>PST0034</t>
  </si>
  <si>
    <t>Our customer says it best: Mixer Grinder #KartNova</t>
  </si>
  <si>
    <t>PST0035</t>
  </si>
  <si>
    <t>PST0036</t>
  </si>
  <si>
    <t>PST0037</t>
  </si>
  <si>
    <t>You asked, we listened. Mixer Grinder #DiwaliDeals</t>
  </si>
  <si>
    <t>PST0038</t>
  </si>
  <si>
    <t>Weekend vibes with Air Fryer #MadeInIndia</t>
  </si>
  <si>
    <t>PST0039</t>
  </si>
  <si>
    <t>PST0040</t>
  </si>
  <si>
    <t>Meet the team behind Air Fryer #ShopLocal</t>
  </si>
  <si>
    <t>PST0041</t>
  </si>
  <si>
    <t>Giveaway time! Power Bank</t>
  </si>
  <si>
    <t>PST0042</t>
  </si>
  <si>
    <t>PST0043</t>
  </si>
  <si>
    <t>Giveaway time! Running Shoes #KartNova</t>
  </si>
  <si>
    <t>PST0044</t>
  </si>
  <si>
    <t>Our customer says it best: Face Serum #DiwaliDeals</t>
  </si>
  <si>
    <t>PST0045</t>
  </si>
  <si>
    <t>You asked, we listened. Wireless Earbuds</t>
  </si>
  <si>
    <t>PST0046</t>
  </si>
  <si>
    <t>Our customer says it best: Cotton Kurta</t>
  </si>
  <si>
    <t>PST0047</t>
  </si>
  <si>
    <t>Meet the team behind Cotton Kurta #ShopLocal</t>
  </si>
  <si>
    <t>PST0048</t>
  </si>
  <si>
    <t>Giveaway time! Cotton Kurta #DiwaliDeals</t>
  </si>
  <si>
    <t>PST0049</t>
  </si>
  <si>
    <t>PST0050</t>
  </si>
  <si>
    <t>PST0051</t>
  </si>
  <si>
    <t>You asked, we listened. Cotton Kurta #ShopLocal</t>
  </si>
  <si>
    <t>PST0052</t>
  </si>
  <si>
    <t>Meet the team behind Mixer Grinder</t>
  </si>
  <si>
    <t>PST0053</t>
  </si>
  <si>
    <t>Our customer says it best: Cotton Kurta #KartNova</t>
  </si>
  <si>
    <t>PST0054</t>
  </si>
  <si>
    <t>New drop alert! Face Serum #DiwaliDeals</t>
  </si>
  <si>
    <t>PST0055</t>
  </si>
  <si>
    <t>You asked, we listened. Smartwatch #MadeInIndia</t>
  </si>
  <si>
    <t>PST0056</t>
  </si>
  <si>
    <t>PST0057</t>
  </si>
  <si>
    <t>Weekend vibes with Air Fryer #ShopLocal</t>
  </si>
  <si>
    <t>PST0058</t>
  </si>
  <si>
    <t>3 ways to use Running Shoes #MadeInIndia</t>
  </si>
  <si>
    <t>PST0059</t>
  </si>
  <si>
    <t>Our customer says it best: Running Shoes #MadeInIndia</t>
  </si>
  <si>
    <t>PST0060</t>
  </si>
  <si>
    <t>Giveaway time! Cotton Kurta #KartNova</t>
  </si>
  <si>
    <t>PST0061</t>
  </si>
  <si>
    <t>PST0062</t>
  </si>
  <si>
    <t>Our customer says it best: Cotton Kurta #MadeInIndia</t>
  </si>
  <si>
    <t>PST0063</t>
  </si>
  <si>
    <t>PST0064</t>
  </si>
  <si>
    <t>PST0065</t>
  </si>
  <si>
    <t>You asked, we listened. Smartwatch #ShopLocal</t>
  </si>
  <si>
    <t>PST0066</t>
  </si>
  <si>
    <t>PST0067</t>
  </si>
  <si>
    <t>3 ways to use Mixer Grinder #DiwaliDeals</t>
  </si>
  <si>
    <t>PST0068</t>
  </si>
  <si>
    <t>Giveaway time! Running Shoes #DiwaliDeals</t>
  </si>
  <si>
    <t>PST0069</t>
  </si>
  <si>
    <t>You asked, we listened. Running Shoes #DiwaliDeals</t>
  </si>
  <si>
    <t>PST0070</t>
  </si>
  <si>
    <t>Meet the team behind Face Serum #ShopLocal</t>
  </si>
  <si>
    <t>PST0071</t>
  </si>
  <si>
    <t>Meet the team behind Running Shoes #MadeInIndia</t>
  </si>
  <si>
    <t>PST0072</t>
  </si>
  <si>
    <t>3 ways to use Mixer Grinder #ShopLocal</t>
  </si>
  <si>
    <t>PST0073</t>
  </si>
  <si>
    <t>Meet the team behind Mixer Grinder #ShopLocal</t>
  </si>
  <si>
    <t>PST0074</t>
  </si>
  <si>
    <t>New drop alert! Air Fryer</t>
  </si>
  <si>
    <t>PST0075</t>
  </si>
  <si>
    <t>Weekend vibes with Air Fryer</t>
  </si>
  <si>
    <t>PST0076</t>
  </si>
  <si>
    <t>Weekend vibes with Running Shoes #MadeInIndia</t>
  </si>
  <si>
    <t>PST0077</t>
  </si>
  <si>
    <t>Festive savings on Smartwatch #KartNova</t>
  </si>
  <si>
    <t>PST0078</t>
  </si>
  <si>
    <t>Giveaway time! Air Fryer #DiwaliDeals</t>
  </si>
  <si>
    <t>PST0079</t>
  </si>
  <si>
    <t>Festive savings on Power Bank #KartNova</t>
  </si>
  <si>
    <t>PST0080</t>
  </si>
  <si>
    <t>Weekend vibes with Wireless Earbuds</t>
  </si>
  <si>
    <t>PST0081</t>
  </si>
  <si>
    <t>Giveaway time! Face Serum #KartNova</t>
  </si>
  <si>
    <t>PST0082</t>
  </si>
  <si>
    <t>3 ways to use Power Bank #MadeInIndia</t>
  </si>
  <si>
    <t>PST0083</t>
  </si>
  <si>
    <t>Weekend vibes with Wireless Earbuds #DiwaliDeals</t>
  </si>
  <si>
    <t>PST0084</t>
  </si>
  <si>
    <t>PST0085</t>
  </si>
  <si>
    <t>Our customer says it best: Running Shoes</t>
  </si>
  <si>
    <t>PST0086</t>
  </si>
  <si>
    <t>PST0087</t>
  </si>
  <si>
    <t>New drop alert! Face Serum #ShopLocal</t>
  </si>
  <si>
    <t>PST0088</t>
  </si>
  <si>
    <t>You asked, we listened. Cotton Kurta #DiwaliDeals</t>
  </si>
  <si>
    <t>PST0089</t>
  </si>
  <si>
    <t>Meet the team behind Air Fryer #KartNova</t>
  </si>
  <si>
    <t>PST0090</t>
  </si>
  <si>
    <t>PST0091</t>
  </si>
  <si>
    <t>Festive savings on Running Shoes #DiwaliDeals</t>
  </si>
  <si>
    <t>PST0092</t>
  </si>
  <si>
    <t>PST0093</t>
  </si>
  <si>
    <t>Giveaway time! Face Serum #ShopLocal</t>
  </si>
  <si>
    <t>PST0094</t>
  </si>
  <si>
    <t>Meet the team behind Air Fryer #DiwaliDeals</t>
  </si>
  <si>
    <t>PST0095</t>
  </si>
  <si>
    <t>You asked, we listened. Running Shoes #MadeInIndia</t>
  </si>
  <si>
    <t>PST0096</t>
  </si>
  <si>
    <t>PST0097</t>
  </si>
  <si>
    <t>New drop alert! Mixer Grinder #MadeInIndia</t>
  </si>
  <si>
    <t>PST0098</t>
  </si>
  <si>
    <t>PST0099</t>
  </si>
  <si>
    <t>Our customer says it best: Power Bank #KartNova</t>
  </si>
  <si>
    <t>PST0100</t>
  </si>
  <si>
    <t>PST0101</t>
  </si>
  <si>
    <t>3 ways to use Wireless Earbuds #DiwaliDeals</t>
  </si>
  <si>
    <t>PST0102</t>
  </si>
  <si>
    <t>3 ways to use Mixer Grinder #KartNova</t>
  </si>
  <si>
    <t>PST0103</t>
  </si>
  <si>
    <t>PST0104</t>
  </si>
  <si>
    <t>Our customer says it best: Wireless Earbuds #ShopLocal</t>
  </si>
  <si>
    <t>PST0105</t>
  </si>
  <si>
    <t>PST0106</t>
  </si>
  <si>
    <t>3 ways to use Face Serum #KartNova</t>
  </si>
  <si>
    <t>PST0107</t>
  </si>
  <si>
    <t>Our customer says it best: Power Bank</t>
  </si>
  <si>
    <t>PST0108</t>
  </si>
  <si>
    <t>Festive savings on Cotton Kurta #ShopLocal</t>
  </si>
  <si>
    <t>PST0109</t>
  </si>
  <si>
    <t>Our customer says it best: Face Serum #KartNova</t>
  </si>
  <si>
    <t>PST0110</t>
  </si>
  <si>
    <t>Festive savings on Mixer Grinder #KartNova</t>
  </si>
  <si>
    <t>PST0111</t>
  </si>
  <si>
    <t>PST0112</t>
  </si>
  <si>
    <t>Giveaway time! Air Fryer #KartNova</t>
  </si>
  <si>
    <t>PST0113</t>
  </si>
  <si>
    <t>Meet the team behind Air Fryer</t>
  </si>
  <si>
    <t>PST0114</t>
  </si>
  <si>
    <t>Meet the team behind Running Shoes</t>
  </si>
  <si>
    <t>PST0115</t>
  </si>
  <si>
    <t>New drop alert! Air Fryer #MadeInIndia</t>
  </si>
  <si>
    <t>PST0116</t>
  </si>
  <si>
    <t>PST0117</t>
  </si>
  <si>
    <t>PST0118</t>
  </si>
  <si>
    <t>3 ways to use Wireless Earbuds #ShopLocal</t>
  </si>
  <si>
    <t>PST0119</t>
  </si>
  <si>
    <t>You asked, we listened. Power Bank #DiwaliDeals</t>
  </si>
  <si>
    <t>PST0120</t>
  </si>
  <si>
    <t>Meet the team behind Smartwatch #KartNova</t>
  </si>
  <si>
    <t>PST0121</t>
  </si>
  <si>
    <t>PST0122</t>
  </si>
  <si>
    <t>PST0123</t>
  </si>
  <si>
    <t>Giveaway time! Cotton Kurta #MadeInIndia</t>
  </si>
  <si>
    <t>PST0124</t>
  </si>
  <si>
    <t>Weekend vibes with Smartwatch #MadeInIndia</t>
  </si>
  <si>
    <t>PST0125</t>
  </si>
  <si>
    <t>Meet the team behind Power Bank</t>
  </si>
  <si>
    <t>PST0126</t>
  </si>
  <si>
    <t>New drop alert! Wireless Earbuds #KartNova</t>
  </si>
  <si>
    <t>PST0127</t>
  </si>
  <si>
    <t>PST0128</t>
  </si>
  <si>
    <t>PST0129</t>
  </si>
  <si>
    <t>Our customer says it best: Power Bank #DiwaliDeals</t>
  </si>
  <si>
    <t>PST0130</t>
  </si>
  <si>
    <t>Meet the team behind Mixer Grinder #MadeInIndia</t>
  </si>
  <si>
    <t>PST0131</t>
  </si>
  <si>
    <t>Weekend vibes with Smartwatch #KartNova</t>
  </si>
  <si>
    <t>PST0132</t>
  </si>
  <si>
    <t>PST0133</t>
  </si>
  <si>
    <t>Festive savings on Face Serum</t>
  </si>
  <si>
    <t>PST0134</t>
  </si>
  <si>
    <t>PST0135</t>
  </si>
  <si>
    <t>PST0136</t>
  </si>
  <si>
    <t>New drop alert! Air Fryer #KartNova</t>
  </si>
  <si>
    <t>PST0137</t>
  </si>
  <si>
    <t>You asked, we listened. Wireless Earbuds #KartNova</t>
  </si>
  <si>
    <t>PST0138</t>
  </si>
  <si>
    <t>PST0139</t>
  </si>
  <si>
    <t>Giveaway time! Cotton Kurta</t>
  </si>
  <si>
    <t>PST0140</t>
  </si>
  <si>
    <t>New drop alert! Air Fryer #ShopLocal</t>
  </si>
  <si>
    <t>PST0141</t>
  </si>
  <si>
    <t>Weekend vibes with Face Serum #MadeInIndia</t>
  </si>
  <si>
    <t>PST0142</t>
  </si>
  <si>
    <t>Giveaway time! Cotton Kurta #ShopLocal</t>
  </si>
  <si>
    <t>PST0143</t>
  </si>
  <si>
    <t>Festive savings on Cotton Kurta</t>
  </si>
  <si>
    <t>PST0144</t>
  </si>
  <si>
    <t>Weekend vibes with Wireless Earbuds #MadeInIndia</t>
  </si>
  <si>
    <t>PST0145</t>
  </si>
  <si>
    <t>PST0146</t>
  </si>
  <si>
    <t>PST0147</t>
  </si>
  <si>
    <t>Giveaway time! Smartwatch #MadeInIndia</t>
  </si>
  <si>
    <t>PST0148</t>
  </si>
  <si>
    <t>PST0149</t>
  </si>
  <si>
    <t>Giveaway time! Wireless Earbuds</t>
  </si>
  <si>
    <t>PST0150</t>
  </si>
  <si>
    <t>Meet the team behind Power Bank #KartNova</t>
  </si>
  <si>
    <t>PST0151</t>
  </si>
  <si>
    <t>You asked, we listened. Running Shoes #ShopLocal</t>
  </si>
  <si>
    <t>PST0152</t>
  </si>
  <si>
    <t>PST0153</t>
  </si>
  <si>
    <t>Our customer says it best: Air Fryer #ShopLocal</t>
  </si>
  <si>
    <t>PST0154</t>
  </si>
  <si>
    <t>You asked, we listened. Power Bank</t>
  </si>
  <si>
    <t>PST0155</t>
  </si>
  <si>
    <t>PST0156</t>
  </si>
  <si>
    <t>PST0157</t>
  </si>
  <si>
    <t>PST0158</t>
  </si>
  <si>
    <t>3 ways to use Wireless Earbuds #KartNova</t>
  </si>
  <si>
    <t>PST0159</t>
  </si>
  <si>
    <t>PST0160</t>
  </si>
  <si>
    <t>PST0161</t>
  </si>
  <si>
    <t>PST0162</t>
  </si>
  <si>
    <t>Festive savings on Smartwatch #ShopLocal</t>
  </si>
  <si>
    <t>PST0163</t>
  </si>
  <si>
    <t>New drop alert! Air Fryer #DiwaliDeals</t>
  </si>
  <si>
    <t>PST0164</t>
  </si>
  <si>
    <t>PST0165</t>
  </si>
  <si>
    <t>PST0166</t>
  </si>
  <si>
    <t>Festive savings on Air Fryer #ShopLocal</t>
  </si>
  <si>
    <t>PST0167</t>
  </si>
  <si>
    <t>Giveaway time! Smartwatch #ShopLocal</t>
  </si>
  <si>
    <t>PST0168</t>
  </si>
  <si>
    <t>You asked, we listened. Mixer Grinder #ShopLocal</t>
  </si>
  <si>
    <t>PST0169</t>
  </si>
  <si>
    <t>New drop alert! Power Bank</t>
  </si>
  <si>
    <t>PST0170</t>
  </si>
  <si>
    <t>New drop alert! Wireless Earbuds #DiwaliDeals</t>
  </si>
  <si>
    <t>PST0171</t>
  </si>
  <si>
    <t>PST0172</t>
  </si>
  <si>
    <t>3 ways to use Running Shoes #ShopLocal</t>
  </si>
  <si>
    <t>PST0173</t>
  </si>
  <si>
    <t>You asked, we listened. Power Bank #MadeInIndia</t>
  </si>
  <si>
    <t>PST0174</t>
  </si>
  <si>
    <t>PST0175</t>
  </si>
  <si>
    <t>PST0176</t>
  </si>
  <si>
    <t>PST0177</t>
  </si>
  <si>
    <t>Weekend vibes with Smartwatch #ShopLocal</t>
  </si>
  <si>
    <t>PST0178</t>
  </si>
  <si>
    <t>3 ways to use Smartwatch #KartNova</t>
  </si>
  <si>
    <t>PST0179</t>
  </si>
  <si>
    <t>PST0180</t>
  </si>
  <si>
    <t>Weekend vibes with Cotton Kurta #ShopLocal</t>
  </si>
  <si>
    <t>PST0181</t>
  </si>
  <si>
    <t>PST0182</t>
  </si>
  <si>
    <t>You asked, we listened. Cotton Kurta #KartNova</t>
  </si>
  <si>
    <t>PST0183</t>
  </si>
  <si>
    <t>PST0184</t>
  </si>
  <si>
    <t>New drop alert! Running Shoes #MadeInIndia</t>
  </si>
  <si>
    <t>PST0185</t>
  </si>
  <si>
    <t>PST0186</t>
  </si>
  <si>
    <t>Weekend vibes with Smartwatch</t>
  </si>
  <si>
    <t>PST0187</t>
  </si>
  <si>
    <t>PST0188</t>
  </si>
  <si>
    <t>PST0189</t>
  </si>
  <si>
    <t>PST0190</t>
  </si>
  <si>
    <t>PST0191</t>
  </si>
  <si>
    <t>3 ways to use Cotton Kurta #KartNova</t>
  </si>
  <si>
    <t>PST0192</t>
  </si>
  <si>
    <t>Festive savings on Cotton Kurta #MadeInIndia</t>
  </si>
  <si>
    <t>PST0193</t>
  </si>
  <si>
    <t>You asked, we listened. Mixer Grinder #MadeInIndia</t>
  </si>
  <si>
    <t>PST0194</t>
  </si>
  <si>
    <t>PST0195</t>
  </si>
  <si>
    <t>PST0196</t>
  </si>
  <si>
    <t>PST0197</t>
  </si>
  <si>
    <t>Festive savings on Smartwatch</t>
  </si>
  <si>
    <t>PST0198</t>
  </si>
  <si>
    <t>3 ways to use Air Fryer #DiwaliDeals</t>
  </si>
  <si>
    <t>PST0199</t>
  </si>
  <si>
    <t>Our customer says it best: Running Shoes #ShopLocal</t>
  </si>
  <si>
    <t>PST0200</t>
  </si>
  <si>
    <t>Our customer says it best: Smartwatch #DiwaliDeals</t>
  </si>
  <si>
    <t>PST0201</t>
  </si>
  <si>
    <t>PST0202</t>
  </si>
  <si>
    <t>Weekend vibes with Face Serum #KartNova</t>
  </si>
  <si>
    <t>PST0203</t>
  </si>
  <si>
    <t>PST0204</t>
  </si>
  <si>
    <t>3 ways to use Smartwatch</t>
  </si>
  <si>
    <t>PST0205</t>
  </si>
  <si>
    <t>Weekend vibes with Smartwatch #DiwaliDeals</t>
  </si>
  <si>
    <t>PST0206</t>
  </si>
  <si>
    <t>PST0207</t>
  </si>
  <si>
    <t>New drop alert! Cotton Kurta #KartNova</t>
  </si>
  <si>
    <t>PST0208</t>
  </si>
  <si>
    <t>PST0209</t>
  </si>
  <si>
    <t>PST0210</t>
  </si>
  <si>
    <t>3 ways to use Face Serum #ShopLocal</t>
  </si>
  <si>
    <t>PST0211</t>
  </si>
  <si>
    <t>3 ways to use Power Bank #DiwaliDeals</t>
  </si>
  <si>
    <t>PST0212</t>
  </si>
  <si>
    <t>PST0213</t>
  </si>
  <si>
    <t>PST0214</t>
  </si>
  <si>
    <t>You asked, we listened. Mixer Grinder</t>
  </si>
  <si>
    <t>PST0215</t>
  </si>
  <si>
    <t>PST0216</t>
  </si>
  <si>
    <t>Giveaway time! Power Bank #DiwaliDeals</t>
  </si>
  <si>
    <t>PST0217</t>
  </si>
  <si>
    <t>You asked, we listened. Power Bank #KartNova</t>
  </si>
  <si>
    <t>PST0218</t>
  </si>
  <si>
    <t>Meet the team behind Wireless Earbuds</t>
  </si>
  <si>
    <t>PST0219</t>
  </si>
  <si>
    <t>PST0220</t>
  </si>
  <si>
    <t>Giveaway time! Air Fryer</t>
  </si>
  <si>
    <t>PST0221</t>
  </si>
  <si>
    <t>Weekend vibes with Running Shoes #KartNova</t>
  </si>
  <si>
    <t>PST0222</t>
  </si>
  <si>
    <t>New drop alert! Cotton Kurta #DiwaliDeals</t>
  </si>
  <si>
    <t>PST0223</t>
  </si>
  <si>
    <t>You asked, we listened. Air Fryer</t>
  </si>
  <si>
    <t>PST0224</t>
  </si>
  <si>
    <t>PST0225</t>
  </si>
  <si>
    <t>PST0226</t>
  </si>
  <si>
    <t>New drop alert! Power Bank #KartNova</t>
  </si>
  <si>
    <t>PST0227</t>
  </si>
  <si>
    <t>You asked, we listened. Face Serum</t>
  </si>
  <si>
    <t>PST0228</t>
  </si>
  <si>
    <t>PST0229</t>
  </si>
  <si>
    <t>PST0230</t>
  </si>
  <si>
    <t>Weekend vibes with Cotton Kurta</t>
  </si>
  <si>
    <t>PST0231</t>
  </si>
  <si>
    <t>You asked, we listened. Wireless Earbuds #MadeInIndia</t>
  </si>
  <si>
    <t>PST0232</t>
  </si>
  <si>
    <t>PST0233</t>
  </si>
  <si>
    <t>You asked, we listened. Air Fryer #KartNova</t>
  </si>
  <si>
    <t>PST0234</t>
  </si>
  <si>
    <t>PST0235</t>
  </si>
  <si>
    <t>Giveaway time! Wireless Earbuds #DiwaliDeals</t>
  </si>
  <si>
    <t>PST0236</t>
  </si>
  <si>
    <t>PST0237</t>
  </si>
  <si>
    <t>PST0238</t>
  </si>
  <si>
    <t>Weekend vibes with Power Bank #MadeInIndia</t>
  </si>
  <si>
    <t>PST0239</t>
  </si>
  <si>
    <t>PST0240</t>
  </si>
  <si>
    <t>PST0241</t>
  </si>
  <si>
    <t>PST0242</t>
  </si>
  <si>
    <t>Festive savings on Face Serum #ShopLocal</t>
  </si>
  <si>
    <t>PST0243</t>
  </si>
  <si>
    <t>PST0244</t>
  </si>
  <si>
    <t>Festive savings on Face Serum #DiwaliDeals</t>
  </si>
  <si>
    <t>PST0245</t>
  </si>
  <si>
    <t>Meet the team behind Running Shoes #DiwaliDeals</t>
  </si>
  <si>
    <t>PST0246</t>
  </si>
  <si>
    <t>PST0247</t>
  </si>
  <si>
    <t>PST0248</t>
  </si>
  <si>
    <t>PST0249</t>
  </si>
  <si>
    <t>PST0250</t>
  </si>
  <si>
    <t>sheet</t>
  </si>
  <si>
    <t>column</t>
  </si>
  <si>
    <t>data_type</t>
  </si>
  <si>
    <t>example_value</t>
  </si>
  <si>
    <t>non_empty_values</t>
  </si>
  <si>
    <t>distinct_values</t>
  </si>
  <si>
    <t>Posts</t>
  </si>
  <si>
    <t>Text</t>
  </si>
  <si>
    <t>Date/time</t>
  </si>
  <si>
    <t>2025-08-12 08:00:00</t>
  </si>
  <si>
    <t>Whole number</t>
  </si>
  <si>
    <t>5953</t>
  </si>
  <si>
    <t>445</t>
  </si>
  <si>
    <t>15</t>
  </si>
  <si>
    <t>40</t>
  </si>
  <si>
    <t>6</t>
  </si>
  <si>
    <t>AI Use Log - fill one row per prompt (minimum 15). Yellow cells are for you to fill; row 4 is an example.</t>
  </si>
  <si>
    <t>#</t>
  </si>
  <si>
    <t>date</t>
  </si>
  <si>
    <t>tool</t>
  </si>
  <si>
    <t>model / mode</t>
  </si>
  <si>
    <t>settings used (if any)</t>
  </si>
  <si>
    <t>prompt (exact text)</t>
  </si>
  <si>
    <t>what the output did well / badly</t>
  </si>
  <si>
    <t>what I changed next and why</t>
  </si>
  <si>
    <t>kept or rejected</t>
  </si>
  <si>
    <t>evidence link / file</t>
  </si>
  <si>
    <t>Evidence is documented in AI_USE_EVIDENCE.md in the GitHub repository. The file records the prompts, AI outputs, verification decisions and human changes used in this project; it is a project evidence record, not a fabricated chat URL.</t>
  </si>
  <si>
    <t>ChatGPT</t>
  </si>
  <si>
    <t>GPT-5.6 Sol</t>
  </si>
  <si>
    <t>High reasoning; attached workbook</t>
  </si>
  <si>
    <t>Analyse the attached T42 social media post optimiser workbook, identify its structure, required deliverables and any risks before editing it.</t>
  </si>
  <si>
    <t>Correctly identified 250 posts, the required outputs and the minimum 15-entry AI-use log.</t>
  </si>
  <si>
    <t>Moved from workbook structure to metric design so the analysis would not confuse reach with engagement.</t>
  </si>
  <si>
    <t>Kept</t>
  </si>
  <si>
    <t>AI_USE_EVIDENCE.md — GitHub repository evidence file</t>
  </si>
  <si>
    <t>Spreadsheet analysis</t>
  </si>
  <si>
    <t>Define a defensible engagement metric using the available columns: reach, likes, comments, shares and link clicks.</t>
  </si>
  <si>
    <t>Proposed total engagement = likes + comments + shares + link clicks and engagement rate = total engagement / reach.</t>
  </si>
  <si>
    <t>Kept both raw engagement and engagement rate because each answers a different business question.</t>
  </si>
  <si>
    <t>Verification pass 1</t>
  </si>
  <si>
    <t>Rank formats by raw engagement per post only and explain the winner.</t>
  </si>
  <si>
    <t>Reels appeared strongest because they had the highest average raw engagement.</t>
  </si>
  <si>
    <t>Rejected raw-only ranking because reels also have much higher reach; normalized by reach next.</t>
  </si>
  <si>
    <t>Rejected</t>
  </si>
  <si>
    <t>Verification pass 2</t>
  </si>
  <si>
    <t>Re-rank formats using average engagement rate and weighted engagement rate, and compare the result with the raw-engagement ranking.</t>
  </si>
  <si>
    <t>Showed Carousel as the best engagement-efficiency format while Reel remained best for scale.</t>
  </si>
  <si>
    <t>Kept the two-metric interpretation to avoid a misleading single winner.</t>
  </si>
  <si>
    <t>Pivot-style aggregation</t>
  </si>
  <si>
    <t>Calculate post count, average reach, average engagement, average engagement rate and weighted engagement rate for every topic.</t>
  </si>
  <si>
    <t>Identified Founder story as the strongest topic on average engagement rate with a meaningful sample.</t>
  </si>
  <si>
    <t>Used sample count in the final recommendation instead of ranking percentages without context.</t>
  </si>
  <si>
    <t>Time analysis</t>
  </si>
  <si>
    <t>Group posting times into practical dayparts and compare engagement rates; also round timestamps and check exact hours separately.</t>
  </si>
  <si>
    <t>Found 17:00 as the best exact observed hour (9.05%, n=12) and Afternoon as the best broad window (7.75%).</t>
  </si>
  <si>
    <t>Used the exact 17:00 result for the test playbook and kept the broad afternoon window as a fallback; documented the smaller hour-level sample.</t>
  </si>
  <si>
    <t>Robustness check</t>
  </si>
  <si>
    <t>Find the best format-topic-time combination, but require a minimum sample size so a tiny cell does not become the main rule.</t>
  </si>
  <si>
    <t>Best combination with at least five posts was Carousel + Founder story + Night, but only n=5.</t>
  </si>
  <si>
    <t>Rejected it as the permanent rule and preferred stronger factor-level evidence for the default playbook.</t>
  </si>
  <si>
    <t>LLM explanation</t>
  </si>
  <si>
    <t>Explain in business language why carousel, founder-story and afternoon patterns might occur, without claiming causation.</t>
  </si>
  <si>
    <t>Produced plausible explanations around dwell time, narrative connection and browsing breaks.</t>
  </si>
  <si>
    <t>Added a pivot-verification column so every explanation is explicitly checked against the data.</t>
  </si>
  <si>
    <t>Content generation round 1</t>
  </si>
  <si>
    <t>Generate 10 new social posts that follow Carousel + Founder story + 17:00 and use products already present in the dataset.</t>
  </si>
  <si>
    <t>Generated usable concepts but some drafts were too generic.</t>
  </si>
  <si>
    <t>Added stronger hooks, slide-by-slide carousel structure and a single clear CTA to each draft; kept 17:00 as a test schedule rather than a causal rule.</t>
  </si>
  <si>
    <t>Content generation round 2</t>
  </si>
  <si>
    <t>Rewrite the 10 posts so each has a specific founder decision, problem or trade-off, a 5-7 slide structure and one measurable CTA.</t>
  </si>
  <si>
    <t>Drafts became more concrete, scannable and directly usable by the social team.</t>
  </si>
  <si>
    <t>Kept them but marked every post as AI draft requiring human review.</t>
  </si>
  <si>
    <t>Rules-card design</t>
  </si>
  <si>
    <t>Turn the verified analysis into a one-page posting-rules card with default rules, scale rules, do/avoid guidance and a next A/B test.</t>
  </si>
  <si>
    <t>Converted analytics into a practical operating card with thresholds and caveats.</t>
  </si>
  <si>
    <t>Added exact percentages and sample-size cautions so the rules are auditable.</t>
  </si>
  <si>
    <t>Working build</t>
  </si>
  <si>
    <t>Design a transparent spreadsheet-based post optimizer that lets a user choose format, topic and posting window and returns historical engagement-rate scores.</t>
  </si>
  <si>
    <t>Created an explainable rule-based scoring concept instead of an opaque prediction.</t>
  </si>
  <si>
    <t>Added a clear note that the composite score is a heuristic, not causal or machine-learning output.</t>
  </si>
  <si>
    <t>Responsible AI review</t>
  </si>
  <si>
    <t>List the main limitations and responsible-AI checks needed before the social team uses these results.</t>
  </si>
  <si>
    <t>Flagged synthetic data, observational bias, confounding, small cells and the need to review AI-written claims.</t>
  </si>
  <si>
    <t>Integrated these limits into the dashboard, rules card and report rather than leaving them as a footnote.</t>
  </si>
  <si>
    <t>Final verification</t>
  </si>
  <si>
    <t>Cross-check all headline numbers in the engagement analysis against the pivot tables and flag any contradiction.</t>
  </si>
  <si>
    <t>Confirmed the main winners and identified the important Reel scale-vs-rate distinction.</t>
  </si>
  <si>
    <t>Kept both metrics and avoided saying Reels were simply better or worse overall.</t>
  </si>
  <si>
    <t>Submission packaging</t>
  </si>
  <si>
    <t>Prepare the project for GitHub with a completed workbook, concise README and a 3-5 page report that explains method, verification, recommendations and reflection.</t>
  </si>
  <si>
    <t>Created a clear deliverable structure aligned with the rubric.</t>
  </si>
  <si>
    <t>Added a repository evidence file documenting the actual AI prompts, verification steps and final decisions.</t>
  </si>
  <si>
    <t>total_engagement</t>
  </si>
  <si>
    <t>engagement_rate</t>
  </si>
  <si>
    <t>post_hour</t>
  </si>
  <si>
    <t>time_bucket</t>
  </si>
  <si>
    <t>weekday</t>
  </si>
  <si>
    <t>Pivot-style verification tables</t>
  </si>
  <si>
    <t>All figures below were independently recomputed from the 250-row Posts sheet. Average engagement rate = mean of (likes + comments + shares + link clicks) / reach per post. Weighted rate = total engagement / total reach.</t>
  </si>
  <si>
    <t>Format pivot - engagement efficiency</t>
  </si>
  <si>
    <t>Category</t>
  </si>
  <si>
    <t>Avg reach</t>
  </si>
  <si>
    <t>Avg engagements</t>
  </si>
  <si>
    <t>Avg engagement rate</t>
  </si>
  <si>
    <t>Weighted engagement rate</t>
  </si>
  <si>
    <t>Lift vs overall avg ER</t>
  </si>
  <si>
    <t>Topic pivot - engagement efficiency</t>
  </si>
  <si>
    <t>Posting-time pivot - broad dayparts</t>
  </si>
  <si>
    <t>Afternoon (12-16)</t>
  </si>
  <si>
    <t>Evening (17-20)</t>
  </si>
  <si>
    <t>Morning (06-11)</t>
  </si>
  <si>
    <t>Night (21-05)</t>
  </si>
  <si>
    <t>Platform pivot - secondary context</t>
  </si>
  <si>
    <t>Weekday pivot - bonus finding</t>
  </si>
  <si>
    <t>Wednesday</t>
  </si>
  <si>
    <t>Sunday</t>
  </si>
  <si>
    <t>Friday</t>
  </si>
  <si>
    <t>Saturday</t>
  </si>
  <si>
    <t>Tuesday</t>
  </si>
  <si>
    <t>Thursday</t>
  </si>
  <si>
    <t>Monday</t>
  </si>
  <si>
    <t>Exact-hour check (top 10 by average engagement rate)</t>
  </si>
  <si>
    <t>Hour</t>
  </si>
  <si>
    <t>17:00</t>
  </si>
  <si>
    <t>00:00</t>
  </si>
  <si>
    <t>14:00</t>
  </si>
  <si>
    <t>12:00</t>
  </si>
  <si>
    <t>11:00</t>
  </si>
  <si>
    <t>04:00</t>
  </si>
  <si>
    <t>10:00</t>
  </si>
  <si>
    <t>02:00</t>
  </si>
  <si>
    <t>18:00</t>
  </si>
  <si>
    <t>16:00</t>
  </si>
  <si>
    <t>Best observed format + topic + time combinations (minimum 5 posts)</t>
  </si>
  <si>
    <t>Format</t>
  </si>
  <si>
    <t>Topic</t>
  </si>
  <si>
    <t>Time bucket</t>
  </si>
  <si>
    <t>Weighted rate</t>
  </si>
  <si>
    <t>T42 - Social Media Engagement Analysis</t>
  </si>
  <si>
    <t>Goal: identify which format, topic and posting time drive engagement, then turn the verified pattern into usable content rules. Primary optimization metric is engagement rate; raw engagement and reach are shown separately so scale is not confused with efficiency.</t>
  </si>
  <si>
    <t>Avg ER</t>
  </si>
  <si>
    <t>Posts analysed</t>
  </si>
  <si>
    <t>Total reach</t>
  </si>
  <si>
    <t>Total engagement</t>
  </si>
  <si>
    <t>Overall avg ER</t>
  </si>
  <si>
    <t>Verified winners and what they mean</t>
  </si>
  <si>
    <t>Driver</t>
  </si>
  <si>
    <t>Winner</t>
  </si>
  <si>
    <t>Sample</t>
  </si>
  <si>
    <t>Lift vs overall</t>
  </si>
  <si>
    <t>Business interpretation</t>
  </si>
  <si>
    <t>Scale vs efficiency: do not use one metric alone</t>
  </si>
  <si>
    <t>Best engagement efficiency. Use as the default format when the objective is actions per person reached.</t>
  </si>
  <si>
    <t>Use case</t>
  </si>
  <si>
    <t>Human/brand story content is the strongest topic on rate, with a meaningful sample size.</t>
  </si>
  <si>
    <t>Best efficiency</t>
  </si>
  <si>
    <t>Exact posting hour</t>
  </si>
  <si>
    <t>Strongest observed exact posting time. Use as the first scheduling test, not as a causal guarantee.</t>
  </si>
  <si>
    <t>Best scale / raw volume</t>
  </si>
  <si>
    <t>Broad time window</t>
  </si>
  <si>
    <t>Best broad window when an exact hour is not practical; the advantage over morning/evening is modest.</t>
  </si>
  <si>
    <t>Middle-ground</t>
  </si>
  <si>
    <t>Weekday (bonus)</t>
  </si>
  <si>
    <t>Best weekday observed. Useful for scheduling, but weekday was not one of the required core drivers.</t>
  </si>
  <si>
    <t>Lower efficiency</t>
  </si>
  <si>
    <t>Lowest efficiency among formats</t>
  </si>
  <si>
    <t>LLM pattern explanation - checked against pivots</t>
  </si>
  <si>
    <t>Pivot check</t>
  </si>
  <si>
    <t>Verdict</t>
  </si>
  <si>
    <t>Verification against workbook calculations</t>
  </si>
  <si>
    <t>Carousels may increase dwell/swipe behavior and create more opportunities to interact.</t>
  </si>
  <si>
    <t>Carousel avg ER = 8.08% across 61 posts vs overall 7.57%.</t>
  </si>
  <si>
    <t>Supported by data</t>
  </si>
  <si>
    <t>Founder stories may work because they humanize the brand and create a narrative hook.</t>
  </si>
  <si>
    <t>Founder story avg ER = 8.11% across 34 posts, highest of 8 topics.</t>
  </si>
  <si>
    <t>A 17:00 post may catch a strong after-work / transition browsing window, but this is only a plausible explanation.</t>
  </si>
  <si>
    <t>17:00 is the strongest exact hour at 9.05% across 12 posts; the best broad bucket is Afternoon (12-16) at 7.75%.</t>
  </si>
  <si>
    <t>Reels should be the highest-engagement format.</t>
  </si>
  <si>
    <t>Reels do have the highest raw scale (1715 engagements/post), but Carousel has the higher engagement rate (8.08% vs 7.50%).</t>
  </si>
  <si>
    <t>Partly supported</t>
  </si>
  <si>
    <t>The single best observed combination should become the permanent rule.</t>
  </si>
  <si>
    <t>Best combo with &gt;=5 posts is Carousel + Founder story + Night (21-05) at 9.47%, but n=5 is too small to treat as causal.</t>
  </si>
  <si>
    <t>Rejected as overfit</t>
  </si>
  <si>
    <t>Recommended operating rule</t>
  </si>
  <si>
    <t>Data-led test pattern: publish a Founder Story as a Carousel at 17:00, prioritising Wednesday when possible. Because the exact format+topic+17:00 cell is small, treat this as a disciplined test rather than a permanent rule. If the team needs a broader scheduling window, 12:00-16:59 is the strongest broad bucket. Use Reels when the KPI is reach or total interaction volume rather than engagement rate, and recheck the pivots after 20-30 new posts.</t>
  </si>
  <si>
    <t>Limitations / responsible use</t>
  </si>
  <si>
    <t>This dataset is synthetic, observational and only 250 rows. The analysis shows association, not causation. Audience size, platform algorithm, creative quality, product, campaign objective and season can confound results. AI-generated captions must be reviewed for accuracy, brand voice, claims and cultural sensitivity before publishing.</t>
  </si>
  <si>
    <t>10 AI-assisted posts following the verified winning pattern</t>
  </si>
  <si>
    <t>Winning factor pattern used for generation: Instagram Carousel + Founder Story + 17:00 (best observed exact posting hour). The 17:00 result is based on 12 posts, so these drafts should be treated as an A/B-test batch. Captions are AI drafts only; verify product claims and brand voice before publishing.</t>
  </si>
  <si>
    <t>Draft ID</t>
  </si>
  <si>
    <t>Platform</t>
  </si>
  <si>
    <t>Suggested day</t>
  </si>
  <si>
    <t>Suggested time</t>
  </si>
  <si>
    <t>Product</t>
  </si>
  <si>
    <t>Caption</t>
  </si>
  <si>
    <t>Carousel structure</t>
  </si>
  <si>
    <t>CTA</t>
  </si>
  <si>
    <t>Review status</t>
  </si>
  <si>
    <t>NEW01</t>
  </si>
  <si>
    <t>Smartwatch</t>
  </si>
  <si>
    <t>We did not start with a feature list. We started with one question: what should a smartwatch make easier every single day? Here is how that question shaped our first sketches, the features we kept, and the ones we removed. #KartNova</t>
  </si>
  <si>
    <t>1 Hook: the first question | 2 Early sketch | 3 User problem | 4 Feature decision | 5 Prototype lesson | 6 What we built next</t>
  </si>
  <si>
    <t>Swipe through the journey, then tell us which feature matters most to you.</t>
  </si>
  <si>
    <t>AI draft - human review required</t>
  </si>
  <si>
    <t>NEW02</t>
  </si>
  <si>
    <t>Wireless Earbuds</t>
  </si>
  <si>
    <t>Our first earbuds prototype looked finished. It was not. The real work started when we listened to what people disliked: fit, battery anxiety and controls that felt confusing. This is the build-test-fix loop behind our latest version. #MadeInIndia</t>
  </si>
  <si>
    <t>1 Prototype photo | 2 What failed | 3 Customer feedback | 4 Design change | 5 Retest | 6 Final lesson</t>
  </si>
  <si>
    <t>Which improvement would you notice first?</t>
  </si>
  <si>
    <t>NEW03</t>
  </si>
  <si>
    <t>Air Fryer</t>
  </si>
  <si>
    <t>The idea was simple: make everyday cooking faster without making the appliance harder to use. The difficult part was saying no to features that looked impressive but added friction. Here is the thinking behind our Air Fryer design. #KartNova</t>
  </si>
  <si>
    <t>1 Founder hook | 2 Kitchen problem | 3 Feature shortlist | 4 What we removed | 5 User test | 6 Final design principle</t>
  </si>
  <si>
    <t>Save this post if simple design matters to you.</t>
  </si>
  <si>
    <t>NEW04</t>
  </si>
  <si>
    <t>Cotton Kurta</t>
  </si>
  <si>
    <t>A good Cotton Kurta starts long before the final stitch. We wanted everyday comfort, dependable finishing and a design that still feels Indian without feeling dated. This carousel shows the choices behind the product. #MadeInIndia</t>
  </si>
  <si>
    <t>1 Design goal | 2 Fabric choice | 3 Fit discussion | 4 Detail check | 5 Final sample | 6 What we learned</t>
  </si>
  <si>
    <t>Swipe to the last slide and pick your favourite detail.</t>
  </si>
  <si>
    <t>NEW05</t>
  </si>
  <si>
    <t>Face Serum</t>
  </si>
  <si>
    <t>When we worked on our Face Serum, the brief was not 'add more'. It was 'make every choice easy to explain'. This is the story of how the team moved from the first concept to a formula direction we could stand behind.</t>
  </si>
  <si>
    <t>1 Brief | 2 User need | 3 Ingredient-selection principle | 4 Testing step | 5 Packaging decision | 6 Final founder note</t>
  </si>
  <si>
    <t>What do you check first when choosing skincare?</t>
  </si>
  <si>
    <t>NEW06</t>
  </si>
  <si>
    <t>Mixer Grinder</t>
  </si>
  <si>
    <t>The loudest feedback was also the most useful: people wanted a mixer grinder that felt dependable in everyday use. We took that seriously. Here is how user complaints became design decisions, one revision at a time. #KartNova</t>
  </si>
  <si>
    <t>1 Feedback quote | 2 Problem | 3 Team discussion | 4 Revision | 5 Stress test | 6 Final takeaway</t>
  </si>
  <si>
    <t>Share the one mixer-grinder problem you would fix first.</t>
  </si>
  <si>
    <t>NEW07</t>
  </si>
  <si>
    <t>Running Shoes</t>
  </si>
  <si>
    <t>Our first question was not 'how do we make these look faster?' It was 'what makes a shoe feel right after the first kilometre?' That changed how we thought about fit, cushioning and the details people rarely see.</t>
  </si>
  <si>
    <t>1 Founder question | 2 First sample | 3 Test run | 4 Feedback | 5 Revision | 6 Final principle</t>
  </si>
  <si>
    <t>Runner or walker - what matters most to your feet?</t>
  </si>
  <si>
    <t>NEW08</t>
  </si>
  <si>
    <t>Power Bank</t>
  </si>
  <si>
    <t>Power banks look simple from the outside. The decisions behind them are not. Capacity, size, charging behaviour and safety checks all compete for space. Here is how our team prioritised the trade-offs.</t>
  </si>
  <si>
    <t>1 The trade-off | 2 User scenario | 3 Engineering choice | 4 Safety check | 5 Prototype | 6 Founder takeaway</t>
  </si>
  <si>
    <t>Save this for your next travel-tech checklist.</t>
  </si>
  <si>
    <t>NEW09</t>
  </si>
  <si>
    <t>One customer comment changed the way we looked at the product. Instead of adding another feature, we simplified the experience people used most. That decision became a rule for the whole team: useful beats crowded.</t>
  </si>
  <si>
    <t>1 Customer comment | 2 Old screen | 3 What we removed | 4 New flow | 5 Team rule | 6 Question to audience</t>
  </si>
  <si>
    <t>Would you choose more features or a simpler experience?</t>
  </si>
  <si>
    <t>NEW10</t>
  </si>
  <si>
    <t>Every product has a moment when the team has to stop polishing and ask whether it actually solves the original problem. For our earbuds, that moment came during a basic commute test. Here is what it taught us.</t>
  </si>
  <si>
    <t>1 Original problem | 2 Commute test | 3 Failure point | 4 Fix | 5 Retest | 6 Founder reflection</t>
  </si>
  <si>
    <t>Comment with the one place you use earbuds most.</t>
  </si>
  <si>
    <t>Posting Rules Card - Social Team</t>
  </si>
  <si>
    <t>Use this as an operating card, not a causal guarantee. Recalculate after every 20-30 new posts.</t>
  </si>
  <si>
    <t>DEFAULT PLAYBOOK - ENGAGEMENT EFFICIENCY</t>
  </si>
  <si>
    <t>SECONDARY PLAYBOOK - SCALE / REACH</t>
  </si>
  <si>
    <t>8.08% avg ER | +6.9% vs overall</t>
  </si>
  <si>
    <t>Use Reels when the KPI is scale. In this dataset Reels average 22,449 reach and 1,715 engagements per post - the highest raw volume - but their average ER (7.50%) is below Carousel (8.08%).</t>
  </si>
  <si>
    <t>8.11% avg ER | +7.2% vs overall</t>
  </si>
  <si>
    <t>Exact time</t>
  </si>
  <si>
    <t>9.05% avg ER | n=12 | test priority</t>
  </si>
  <si>
    <t>Broad fallback</t>
  </si>
  <si>
    <t>12:00-16:59</t>
  </si>
  <si>
    <t>7.75% avg ER | n=42</t>
  </si>
  <si>
    <t>DO</t>
  </si>
  <si>
    <t>AVOID / WATCH</t>
  </si>
  <si>
    <t>• Lead with a human problem, decision or trade-off; then show the story over 5-7 carousel slides.</t>
  </si>
  <si>
    <t>• Do not assume the 5-post best combination is a permanent winner; the sample is too small.</t>
  </si>
  <si>
    <t>• Use 17:00 as the first exact-hour test; if scheduling needs flexibility, use the 12:00-16:59 broad window.</t>
  </si>
  <si>
    <t>• Do not optimize only for likes; include comments, shares and link clicks in engagement.</t>
  </si>
  <si>
    <t>• Use one clear CTA: comment, save, share or answer a specific question.</t>
  </si>
  <si>
    <t>• Do not use text posts as the default when the objective is engagement efficiency.</t>
  </si>
  <si>
    <t>• Track reach and engagement rate separately; high reach does not automatically mean high efficiency.</t>
  </si>
  <si>
    <t>• Do not make unverified product, health or performance claims in AI-generated copy.</t>
  </si>
  <si>
    <t>• Re-run the pivots after 20-30 new posts and compare against the 7.57% overall baseline.</t>
  </si>
  <si>
    <t>• Do not publish AI drafts without a human check for tone, factual accuracy and cultural fit.</t>
  </si>
  <si>
    <t>A/B TEST NEXT</t>
  </si>
  <si>
    <t>Run a controlled timing test: 17:00 currently leads exact-hour performance at 9.05% (n=12). Compare it with 14:00, which is also strong at 8.52% (n=12). Keep format and topic as similar as possible and collect at least 10 comparable posts per slot before changing the permanent schedule.</t>
  </si>
  <si>
    <t>Working Build - Rule-Based Social Post Optimizer</t>
  </si>
  <si>
    <t>Choose a format, topic and exact posting hour. The sheet returns the historical engagement rate for each selected factor and a simple composite score. This is a transparent decision aid, not a machine-learning or causal forecast.</t>
  </si>
  <si>
    <t>Exact hour</t>
  </si>
  <si>
    <t>Input</t>
  </si>
  <si>
    <t>Selection</t>
  </si>
  <si>
    <t>01:00</t>
  </si>
  <si>
    <t>03:00</t>
  </si>
  <si>
    <t>05:00</t>
  </si>
  <si>
    <t>Factor</t>
  </si>
  <si>
    <t>Selected value</t>
  </si>
  <si>
    <t>Historical avg ER</t>
  </si>
  <si>
    <t>Lift vs baseline</t>
  </si>
  <si>
    <t>06:00</t>
  </si>
  <si>
    <t>07:00</t>
  </si>
  <si>
    <t>08:00</t>
  </si>
  <si>
    <t>09:00</t>
  </si>
  <si>
    <t>Composite rule score</t>
  </si>
  <si>
    <t>Recommendation</t>
  </si>
  <si>
    <t>13:00</t>
  </si>
  <si>
    <t>15:00</t>
  </si>
  <si>
    <t>Baseline: 7.57% average ER across all 250 posts. The composite is the mean of the selected format, topic and exact-hour historical averages. It is a transparent heuristic for prioritising tests, not a causal or machine-learning prediction.</t>
  </si>
  <si>
    <t>19:00</t>
  </si>
  <si>
    <t>20:00</t>
  </si>
  <si>
    <t>21:00</t>
  </si>
  <si>
    <t>22:00</t>
  </si>
  <si>
    <t>23:00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</si>
</sst>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yyyy\-mm\-dd"/>
    <numFmt numFmtId="165" formatCode="yyyy\-mm\-dd\ hh:mm"/>
    <numFmt numFmtId="166" formatCode="#,##0.0"/>
  </numFmts>
  <fonts count="15" x14ac:knownFonts="1">
    <font>
      <sz val="10"/>
      <name val="Arial"/>
    </font>
    <font>
      <sz val="10"/>
      <name val="Arial"/>
    </font>
    <font>
      <b/>
      <sz val="14"/>
      <color rgb="FF1F4E5A"/>
      <name val="Arial"/>
    </font>
    <font>
      <i/>
      <sz val="10"/>
      <color rgb="FF555555"/>
      <name val="Arial"/>
    </font>
    <font>
      <b/>
      <sz val="10"/>
      <name val="Arial"/>
    </font>
    <font>
      <b/>
      <sz val="12"/>
      <color rgb="FF1F4E5A"/>
      <name val="Arial"/>
    </font>
    <font>
      <b/>
      <sz val="10"/>
      <color rgb="FFFFFFFF"/>
      <name val="Arial"/>
    </font>
    <font>
      <sz val="11"/>
      <color theme="1"/>
      <name val="Calibri"/>
    </font>
    <font>
      <i/>
      <sz val="9"/>
      <color rgb="FF555555"/>
      <name val="Arial"/>
    </font>
    <font>
      <i/>
      <sz val="10"/>
      <color rgb="FF666666"/>
      <name val="Arial"/>
    </font>
    <font>
      <b/>
      <sz val="16"/>
      <color rgb="FFFFFFFF"/>
      <name val="Arial"/>
    </font>
    <font>
      <i/>
      <sz val="10"/>
      <color rgb="FF1F2937"/>
      <name val="Arial"/>
    </font>
    <font>
      <b/>
      <sz val="10"/>
      <color rgb="FF1F2937"/>
      <name val="Arial"/>
    </font>
    <font>
      <b/>
      <sz val="16"/>
      <color rgb="FF174F5B"/>
      <name val="Arial"/>
    </font>
    <font>
      <sz val="10"/>
      <color rgb="FF1F2937"/>
      <name val="Arial"/>
    </font>
  </fonts>
  <fills count="13">
    <fill>
      <patternFill patternType="none"/>
    </fill>
    <fill>
      <patternFill patternType="gray125"/>
    </fill>
    <fill>
      <patternFill patternType="solid">
        <fgColor rgb="FFE8F1F2"/>
      </patternFill>
    </fill>
    <fill>
      <patternFill patternType="solid">
        <fgColor rgb="FF1F4E5A"/>
      </patternFill>
    </fill>
    <fill>
      <patternFill patternType="solid">
        <fgColor rgb="FFFFF2CC"/>
      </patternFill>
    </fill>
    <fill>
      <patternFill patternType="solid">
        <fgColor rgb="FF174F5B"/>
      </patternFill>
    </fill>
    <fill>
      <patternFill patternType="solid">
        <fgColor rgb="FFEAF2F8"/>
      </patternFill>
    </fill>
    <fill>
      <patternFill patternType="solid">
        <fgColor rgb="FF246B78"/>
      </patternFill>
    </fill>
    <fill>
      <patternFill patternType="solid">
        <fgColor rgb="FFE8F2F4"/>
      </patternFill>
    </fill>
    <fill>
      <patternFill patternType="solid">
        <fgColor rgb="FFFFFFFF"/>
      </patternFill>
    </fill>
    <fill>
      <patternFill patternType="solid">
        <fgColor rgb="FFE2F0D9"/>
      </patternFill>
    </fill>
    <fill>
      <patternFill patternType="solid">
        <fgColor rgb="FFFFF2CC"/>
      </patternFill>
    </fill>
    <fill>
      <patternFill patternType="solid">
        <fgColor rgb="FFFCE4D6"/>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52">
    <xf numFmtId="0" fontId="0" fillId="0" borderId="0" xfId="0"/>
    <xf numFmtId="0" fontId="12" fillId="10" borderId="0" xfId="0" applyFont="1" applyFill="1" applyAlignment="1">
      <alignment vertical="center" wrapText="1"/>
    </xf>
    <xf numFmtId="0" fontId="0" fillId="12" borderId="0" xfId="0" applyFill="1" applyAlignment="1">
      <alignment wrapText="1"/>
    </xf>
    <xf numFmtId="0" fontId="0" fillId="11" borderId="0" xfId="0" applyFill="1" applyAlignment="1">
      <alignment wrapText="1"/>
    </xf>
    <xf numFmtId="0" fontId="0" fillId="10" borderId="0" xfId="0" applyFill="1" applyAlignment="1">
      <alignment wrapText="1"/>
    </xf>
    <xf numFmtId="0" fontId="0" fillId="0" borderId="0" xfId="0" applyAlignment="1">
      <alignment wrapText="1"/>
    </xf>
    <xf numFmtId="0" fontId="6" fillId="5" borderId="0" xfId="0" applyFont="1" applyFill="1" applyAlignment="1">
      <alignment horizontal="center" vertical="center" wrapText="1"/>
    </xf>
    <xf numFmtId="10" fontId="13" fillId="9" borderId="0" xfId="0" applyNumberFormat="1" applyFont="1" applyFill="1" applyAlignment="1">
      <alignment horizontal="center" vertical="center"/>
    </xf>
    <xf numFmtId="3" fontId="13" fillId="9" borderId="0" xfId="0" applyNumberFormat="1" applyFont="1" applyFill="1" applyAlignment="1">
      <alignment horizontal="center" vertical="center"/>
    </xf>
    <xf numFmtId="0" fontId="13" fillId="9" borderId="0" xfId="0" applyFont="1" applyFill="1" applyAlignment="1">
      <alignment horizontal="center" vertical="center"/>
    </xf>
    <xf numFmtId="1" fontId="13" fillId="9" borderId="0" xfId="0" applyNumberFormat="1" applyFont="1" applyFill="1" applyAlignment="1">
      <alignment horizontal="center" vertical="center"/>
    </xf>
    <xf numFmtId="0" fontId="12" fillId="8" borderId="0" xfId="0" applyFont="1" applyFill="1" applyAlignment="1">
      <alignment horizontal="center" vertical="center"/>
    </xf>
    <xf numFmtId="0" fontId="6" fillId="7" borderId="0" xfId="0" applyFont="1" applyFill="1" applyAlignment="1">
      <alignment vertical="center"/>
    </xf>
    <xf numFmtId="0" fontId="11" fillId="6" borderId="0" xfId="0" applyFont="1" applyFill="1" applyAlignment="1">
      <alignment vertical="top" wrapText="1"/>
    </xf>
    <xf numFmtId="0" fontId="10" fillId="5" borderId="0" xfId="0" applyFont="1" applyFill="1" applyAlignment="1">
      <alignment vertical="center"/>
    </xf>
    <xf numFmtId="0" fontId="2" fillId="0" borderId="0" xfId="0" applyFont="1"/>
    <xf numFmtId="0" fontId="3" fillId="0" borderId="0" xfId="0" applyFont="1"/>
    <xf numFmtId="0" fontId="4" fillId="2" borderId="1" xfId="0" applyFont="1" applyFill="1" applyBorder="1" applyAlignment="1">
      <alignment vertical="top" wrapText="1"/>
    </xf>
    <xf numFmtId="0" fontId="0" fillId="0" borderId="1" xfId="0" applyBorder="1" applyAlignment="1">
      <alignment vertical="top" wrapText="1"/>
    </xf>
    <xf numFmtId="0" fontId="5" fillId="0" borderId="0" xfId="0" applyFont="1"/>
    <xf numFmtId="0" fontId="6" fillId="3" borderId="1" xfId="0" applyFont="1" applyFill="1" applyBorder="1" applyAlignment="1">
      <alignment vertical="center" wrapText="1"/>
    </xf>
    <xf numFmtId="0" fontId="7" fillId="0" borderId="1" xfId="0" applyFont="1" applyBorder="1" applyAlignment="1">
      <alignment vertical="top" wrapText="1"/>
    </xf>
    <xf numFmtId="0" fontId="4" fillId="0" borderId="0" xfId="0" applyFont="1"/>
    <xf numFmtId="164" fontId="7" fillId="0" borderId="0" xfId="0" applyNumberFormat="1" applyFont="1"/>
    <xf numFmtId="0" fontId="9" fillId="0" borderId="1" xfId="0" applyFont="1" applyBorder="1" applyAlignment="1">
      <alignment vertical="top" wrapText="1"/>
    </xf>
    <xf numFmtId="164" fontId="9" fillId="0" borderId="1" xfId="0" applyNumberFormat="1" applyFont="1" applyBorder="1" applyAlignment="1">
      <alignment vertical="top" wrapText="1"/>
    </xf>
    <xf numFmtId="164" fontId="7" fillId="4" borderId="1" xfId="0" applyNumberFormat="1" applyFont="1" applyFill="1" applyBorder="1" applyAlignment="1">
      <alignment vertical="top" wrapText="1"/>
    </xf>
    <xf numFmtId="0" fontId="7" fillId="4" borderId="1" xfId="0" applyFont="1" applyFill="1" applyBorder="1" applyAlignment="1">
      <alignment vertical="top" wrapText="1"/>
    </xf>
    <xf numFmtId="0" fontId="6" fillId="5" borderId="0" xfId="0" applyFont="1" applyFill="1" applyAlignment="1">
      <alignment horizontal="center" vertical="center" wrapText="1"/>
    </xf>
    <xf numFmtId="165" fontId="0" fillId="0" borderId="0" xfId="0" applyNumberFormat="1"/>
    <xf numFmtId="3" fontId="0" fillId="0" borderId="0" xfId="0" applyNumberFormat="1"/>
    <xf numFmtId="10" fontId="0" fillId="0" borderId="0" xfId="0" applyNumberFormat="1"/>
    <xf numFmtId="1" fontId="0" fillId="0" borderId="0" xfId="0" applyNumberFormat="1"/>
    <xf numFmtId="0" fontId="6" fillId="5" borderId="0" xfId="0" applyFont="1" applyFill="1" applyAlignment="1">
      <alignment horizontal="center" vertical="center"/>
    </xf>
    <xf numFmtId="0" fontId="0" fillId="0" borderId="0" xfId="0" applyAlignment="1">
      <alignment wrapText="1"/>
    </xf>
    <xf numFmtId="166" fontId="0" fillId="0" borderId="0" xfId="0" applyNumberFormat="1"/>
    <xf numFmtId="166" fontId="0" fillId="0" borderId="0" xfId="0" applyNumberFormat="1" applyAlignment="1">
      <alignment wrapText="1"/>
    </xf>
    <xf numFmtId="10" fontId="0" fillId="0" borderId="0" xfId="0" applyNumberFormat="1" applyAlignment="1">
      <alignment wrapText="1"/>
    </xf>
    <xf numFmtId="1" fontId="0" fillId="0" borderId="0" xfId="0" applyNumberFormat="1" applyAlignment="1">
      <alignment wrapText="1"/>
    </xf>
    <xf numFmtId="0" fontId="12" fillId="8" borderId="0" xfId="0" applyFont="1" applyFill="1" applyAlignment="1">
      <alignment vertical="center" wrapText="1"/>
    </xf>
    <xf numFmtId="0" fontId="12" fillId="10" borderId="0" xfId="0" applyFont="1" applyFill="1"/>
    <xf numFmtId="0" fontId="0" fillId="0" borderId="0" xfId="0" applyAlignment="1">
      <alignment vertical="top"/>
    </xf>
    <xf numFmtId="0" fontId="6" fillId="5" borderId="0" xfId="0" applyFont="1" applyFill="1" applyAlignment="1">
      <alignment horizontal="center" vertical="top" wrapText="1"/>
    </xf>
    <xf numFmtId="0" fontId="0" fillId="0" borderId="0" xfId="0" applyAlignment="1">
      <alignment vertical="top" wrapText="1"/>
    </xf>
    <xf numFmtId="0" fontId="12" fillId="11" borderId="0" xfId="0" applyFont="1" applyFill="1"/>
    <xf numFmtId="1" fontId="9" fillId="0" borderId="1" xfId="0" applyNumberFormat="1" applyFont="1" applyBorder="1" applyAlignment="1">
      <alignment vertical="top" wrapText="1"/>
    </xf>
    <xf numFmtId="1" fontId="7" fillId="0" borderId="1" xfId="0" applyNumberFormat="1" applyFont="1" applyBorder="1" applyAlignment="1">
      <alignment vertical="top" wrapText="1"/>
    </xf>
    <xf numFmtId="0" fontId="8" fillId="0" borderId="0" xfId="0" applyFont="1" applyAlignment="1">
      <alignment wrapText="1"/>
    </xf>
    <xf numFmtId="0" fontId="10" fillId="5" borderId="0" xfId="0" applyFont="1" applyFill="1" applyAlignment="1">
      <alignment vertical="top"/>
    </xf>
    <xf numFmtId="0" fontId="14" fillId="6" borderId="0" xfId="0" applyFont="1" applyFill="1" applyAlignment="1">
      <alignment vertical="center" wrapText="1"/>
    </xf>
    <xf numFmtId="0" fontId="0" fillId="9" borderId="0" xfId="0" applyFill="1" applyAlignment="1">
      <alignment wrapText="1"/>
    </xf>
    <xf numFmtId="0" fontId="12" fillId="8" borderId="0" xfId="0" applyFont="1" applyFill="1" applyAlignment="1">
      <alignment vertical="center"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Average engagement rate by format</a:t>
            </a:r>
          </a:p>
        </c:rich>
      </c:tx>
      <c:overlay val="1"/>
    </c:title>
    <c:autoTitleDeleted val="0"/>
    <c:plotArea>
      <c:layout/>
      <c:barChart>
        <c:barDir val="col"/>
        <c:grouping val="clustered"/>
        <c:varyColors val="0"/>
        <c:ser>
          <c:idx val="0"/>
          <c:order val="0"/>
          <c:tx>
            <c:v>Avg ER</c:v>
          </c:tx>
          <c:invertIfNegative val="1"/>
          <c:cat>
            <c:strRef>
              <c:f>'Engagement Analysis'!$N$3:$N$7</c:f>
              <c:strCache>
                <c:ptCount val="5"/>
                <c:pt idx="0">
                  <c:v>Carousel</c:v>
                </c:pt>
                <c:pt idx="1">
                  <c:v>Static image</c:v>
                </c:pt>
                <c:pt idx="2">
                  <c:v>Reel</c:v>
                </c:pt>
                <c:pt idx="3">
                  <c:v>Text post</c:v>
                </c:pt>
                <c:pt idx="4">
                  <c:v>Story</c:v>
                </c:pt>
              </c:strCache>
            </c:strRef>
          </c:cat>
          <c:val>
            <c:numRef>
              <c:f>'Engagement Analysis'!$O$3:$O$7</c:f>
              <c:numCache>
                <c:formatCode>0.00%</c:formatCode>
                <c:ptCount val="5"/>
                <c:pt idx="0">
                  <c:v>8.0844650309718824E-2</c:v>
                </c:pt>
                <c:pt idx="1">
                  <c:v>7.5764857188220347E-2</c:v>
                </c:pt>
                <c:pt idx="2">
                  <c:v>7.5016263147907242E-2</c:v>
                </c:pt>
                <c:pt idx="3">
                  <c:v>7.0968789855788791E-2</c:v>
                </c:pt>
                <c:pt idx="4">
                  <c:v>6.9654349149029599E-2</c:v>
                </c:pt>
              </c:numCache>
            </c:numRef>
          </c:val>
          <c:extLst>
            <c:ext xmlns:c16="http://schemas.microsoft.com/office/drawing/2014/chart" uri="{C3380CC4-5D6E-409C-BE32-E72D297353CC}">
              <c16:uniqueId val="{00000000-4635-4886-98E0-284B2994465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Average engagement rate by topic</a:t>
            </a:r>
          </a:p>
        </c:rich>
      </c:tx>
      <c:overlay val="1"/>
    </c:title>
    <c:autoTitleDeleted val="0"/>
    <c:plotArea>
      <c:layout/>
      <c:barChart>
        <c:barDir val="col"/>
        <c:grouping val="clustered"/>
        <c:varyColors val="0"/>
        <c:ser>
          <c:idx val="0"/>
          <c:order val="0"/>
          <c:tx>
            <c:v>Avg ER</c:v>
          </c:tx>
          <c:invertIfNegative val="1"/>
          <c:cat>
            <c:strRef>
              <c:f>'Engagement Analysis'!$Q$3:$Q$10</c:f>
              <c:strCache>
                <c:ptCount val="8"/>
                <c:pt idx="0">
                  <c:v>Founder story</c:v>
                </c:pt>
                <c:pt idx="1">
                  <c:v>Giveaway</c:v>
                </c:pt>
                <c:pt idx="2">
                  <c:v>Festive offer</c:v>
                </c:pt>
                <c:pt idx="3">
                  <c:v>Meme/trend</c:v>
                </c:pt>
                <c:pt idx="4">
                  <c:v>Behind the scenes</c:v>
                </c:pt>
                <c:pt idx="5">
                  <c:v>Customer testimonial</c:v>
                </c:pt>
                <c:pt idx="6">
                  <c:v>Product launch</c:v>
                </c:pt>
                <c:pt idx="7">
                  <c:v>How-to tip</c:v>
                </c:pt>
              </c:strCache>
            </c:strRef>
          </c:cat>
          <c:val>
            <c:numRef>
              <c:f>'Engagement Analysis'!$R$3:$R$10</c:f>
              <c:numCache>
                <c:formatCode>0.00%</c:formatCode>
                <c:ptCount val="8"/>
                <c:pt idx="0">
                  <c:v>8.114283497908488E-2</c:v>
                </c:pt>
                <c:pt idx="1">
                  <c:v>7.9045943927314968E-2</c:v>
                </c:pt>
                <c:pt idx="2">
                  <c:v>7.5826376785531016E-2</c:v>
                </c:pt>
                <c:pt idx="3">
                  <c:v>7.492265942406709E-2</c:v>
                </c:pt>
                <c:pt idx="4">
                  <c:v>7.4446461155528748E-2</c:v>
                </c:pt>
                <c:pt idx="5">
                  <c:v>7.384188784600336E-2</c:v>
                </c:pt>
                <c:pt idx="6">
                  <c:v>7.3286079661600223E-2</c:v>
                </c:pt>
                <c:pt idx="7">
                  <c:v>7.206478473185042E-2</c:v>
                </c:pt>
              </c:numCache>
            </c:numRef>
          </c:val>
          <c:extLst>
            <c:ext xmlns:c16="http://schemas.microsoft.com/office/drawing/2014/chart" uri="{C3380CC4-5D6E-409C-BE32-E72D297353CC}">
              <c16:uniqueId val="{00000000-A459-4890-954D-B4FE1196C83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Average engagement rate by posting window</a:t>
            </a:r>
          </a:p>
        </c:rich>
      </c:tx>
      <c:overlay val="1"/>
    </c:title>
    <c:autoTitleDeleted val="0"/>
    <c:plotArea>
      <c:layout/>
      <c:barChart>
        <c:barDir val="col"/>
        <c:grouping val="clustered"/>
        <c:varyColors val="0"/>
        <c:ser>
          <c:idx val="0"/>
          <c:order val="0"/>
          <c:tx>
            <c:v>Avg ER</c:v>
          </c:tx>
          <c:invertIfNegative val="1"/>
          <c:cat>
            <c:strRef>
              <c:f>'Engagement Analysis'!$T$3:$T$6</c:f>
              <c:strCache>
                <c:ptCount val="4"/>
                <c:pt idx="0">
                  <c:v>Afternoon (12-16)</c:v>
                </c:pt>
                <c:pt idx="1">
                  <c:v>Evening (17-20)</c:v>
                </c:pt>
                <c:pt idx="2">
                  <c:v>Morning (06-11)</c:v>
                </c:pt>
                <c:pt idx="3">
                  <c:v>Night (21-05)</c:v>
                </c:pt>
              </c:strCache>
            </c:strRef>
          </c:cat>
          <c:val>
            <c:numRef>
              <c:f>'Engagement Analysis'!$U$3:$U$6</c:f>
              <c:numCache>
                <c:formatCode>0.00%</c:formatCode>
                <c:ptCount val="4"/>
                <c:pt idx="0">
                  <c:v>7.7478044173438704E-2</c:v>
                </c:pt>
                <c:pt idx="1">
                  <c:v>7.6985675044359034E-2</c:v>
                </c:pt>
                <c:pt idx="2">
                  <c:v>7.6528699716505E-2</c:v>
                </c:pt>
                <c:pt idx="3">
                  <c:v>7.3721554421614224E-2</c:v>
                </c:pt>
              </c:numCache>
            </c:numRef>
          </c:val>
          <c:extLst>
            <c:ext xmlns:c16="http://schemas.microsoft.com/office/drawing/2014/chart" uri="{C3380CC4-5D6E-409C-BE32-E72D297353CC}">
              <c16:uniqueId val="{00000000-C239-439E-BAB4-8000F9FDB0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0</xdr:rowOff>
    </xdr:from>
    <xdr:to>
      <xdr:col>6</xdr:col>
      <xdr:colOff>0</xdr:colOff>
      <xdr:row>51</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35</xdr:row>
      <xdr:rowOff>0</xdr:rowOff>
    </xdr:from>
    <xdr:to>
      <xdr:col>12</xdr:col>
      <xdr:colOff>0</xdr:colOff>
      <xdr:row>51</xdr:row>
      <xdr:rowOff>0</xdr:rowOff>
    </xdr:to>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52</xdr:row>
      <xdr:rowOff>0</xdr:rowOff>
    </xdr:from>
    <xdr:to>
      <xdr:col>6</xdr:col>
      <xdr:colOff>0</xdr:colOff>
      <xdr:row>67</xdr:row>
      <xdr:rowOff>0</xdr:rowOff>
    </xdr:to>
    <xdr:graphicFrame macro="">
      <xdr:nvGraphicFramePr>
        <xdr:cNvPr id="4" nam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alysisDataTable" displayName="AnalysisDataTable" ref="A1:P251" totalsRowShown="0">
  <tableColumns count="16">
    <tableColumn id="1" xr3:uid="{00000000-0010-0000-0000-000001000000}" name="post_id"/>
    <tableColumn id="2" xr3:uid="{00000000-0010-0000-0000-000002000000}" name="posted_at"/>
    <tableColumn id="3" xr3:uid="{00000000-0010-0000-0000-000003000000}" name="platform"/>
    <tableColumn id="4" xr3:uid="{00000000-0010-0000-0000-000004000000}" name="format"/>
    <tableColumn id="5" xr3:uid="{00000000-0010-0000-0000-000005000000}" name="topic"/>
    <tableColumn id="6" xr3:uid="{00000000-0010-0000-0000-000006000000}" name="caption"/>
    <tableColumn id="7" xr3:uid="{00000000-0010-0000-0000-000007000000}" name="reach"/>
    <tableColumn id="8" xr3:uid="{00000000-0010-0000-0000-000008000000}" name="likes"/>
    <tableColumn id="9" xr3:uid="{00000000-0010-0000-0000-000009000000}" name="comments"/>
    <tableColumn id="10" xr3:uid="{00000000-0010-0000-0000-00000A000000}" name="shares"/>
    <tableColumn id="11" xr3:uid="{00000000-0010-0000-0000-00000B000000}" name="link_clicks"/>
    <tableColumn id="12" xr3:uid="{00000000-0010-0000-0000-00000C000000}" name="total_engagement"/>
    <tableColumn id="13" xr3:uid="{00000000-0010-0000-0000-00000D000000}" name="engagement_rate"/>
    <tableColumn id="14" xr3:uid="{00000000-0010-0000-0000-00000E000000}" name="post_hour"/>
    <tableColumn id="15" xr3:uid="{00000000-0010-0000-0000-00000F000000}" name="time_bucket"/>
    <tableColumn id="16" xr3:uid="{00000000-0010-0000-0000-000010000000}" name="weekd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ewPostsTable" displayName="NewPostsTable" ref="A4:K14" totalsRowShown="0">
  <tableColumns count="11">
    <tableColumn id="1" xr3:uid="{00000000-0010-0000-0100-000001000000}" name="Draft ID"/>
    <tableColumn id="2" xr3:uid="{00000000-0010-0000-0100-000002000000}" name="Platform"/>
    <tableColumn id="3" xr3:uid="{00000000-0010-0000-0100-000003000000}" name="Format"/>
    <tableColumn id="4" xr3:uid="{00000000-0010-0000-0100-000004000000}" name="Topic"/>
    <tableColumn id="5" xr3:uid="{00000000-0010-0000-0100-000005000000}" name="Suggested day"/>
    <tableColumn id="6" xr3:uid="{00000000-0010-0000-0100-000006000000}" name="Suggested time"/>
    <tableColumn id="7" xr3:uid="{00000000-0010-0000-0100-000007000000}" name="Product"/>
    <tableColumn id="8" xr3:uid="{00000000-0010-0000-0100-000008000000}" name="Caption"/>
    <tableColumn id="9" xr3:uid="{00000000-0010-0000-0100-000009000000}" name="Carousel structure"/>
    <tableColumn id="10" xr3:uid="{00000000-0010-0000-0100-00000A000000}" name="CTA"/>
    <tableColumn id="11" xr3:uid="{00000000-0010-0000-0100-00000B000000}" name="Review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x14ac:dyDescent="0.3">
      <c r="A1" s="15" t="s">
        <v>0</v>
      </c>
    </row>
    <row r="2" spans="1:2" x14ac:dyDescent="0.25">
      <c r="A2" s="16" t="s">
        <v>1</v>
      </c>
    </row>
    <row r="4" spans="1:2" ht="18" customHeight="1" x14ac:dyDescent="0.25">
      <c r="A4" s="17" t="s">
        <v>2</v>
      </c>
      <c r="B4" s="18" t="s">
        <v>3</v>
      </c>
    </row>
    <row r="5" spans="1:2" ht="18" customHeight="1" x14ac:dyDescent="0.25">
      <c r="A5" s="17" t="s">
        <v>4</v>
      </c>
      <c r="B5" s="18" t="s">
        <v>5</v>
      </c>
    </row>
    <row r="6" spans="1:2" ht="18" customHeight="1" x14ac:dyDescent="0.25">
      <c r="A6" s="17" t="s">
        <v>6</v>
      </c>
      <c r="B6" s="18" t="s">
        <v>7</v>
      </c>
    </row>
    <row r="7" spans="1:2" ht="27.75" customHeight="1" x14ac:dyDescent="0.25">
      <c r="A7" s="17" t="s">
        <v>8</v>
      </c>
      <c r="B7" s="18" t="s">
        <v>9</v>
      </c>
    </row>
    <row r="8" spans="1:2" ht="55.5" customHeight="1" x14ac:dyDescent="0.25">
      <c r="A8" s="17" t="s">
        <v>10</v>
      </c>
      <c r="B8" s="18" t="s">
        <v>11</v>
      </c>
    </row>
    <row r="9" spans="1:2" ht="18" customHeight="1" x14ac:dyDescent="0.25">
      <c r="A9" s="17" t="s">
        <v>12</v>
      </c>
      <c r="B9" s="18" t="s">
        <v>13</v>
      </c>
    </row>
    <row r="10" spans="1:2" ht="27.75" customHeight="1" x14ac:dyDescent="0.25">
      <c r="A10" s="17" t="s">
        <v>14</v>
      </c>
      <c r="B10" s="18" t="s">
        <v>15</v>
      </c>
    </row>
    <row r="11" spans="1:2" ht="42" customHeight="1" x14ac:dyDescent="0.25">
      <c r="A11" s="17" t="s">
        <v>16</v>
      </c>
      <c r="B11" s="18" t="s">
        <v>17</v>
      </c>
    </row>
    <row r="12" spans="1:2" ht="18" customHeight="1" x14ac:dyDescent="0.25">
      <c r="A12" s="17" t="s">
        <v>18</v>
      </c>
      <c r="B12" s="18" t="s">
        <v>19</v>
      </c>
    </row>
    <row r="13" spans="1:2" ht="27.75" customHeight="1" x14ac:dyDescent="0.25">
      <c r="A13" s="17" t="s">
        <v>20</v>
      </c>
      <c r="B13" s="18" t="s">
        <v>21</v>
      </c>
    </row>
    <row r="14" spans="1:2" ht="42" customHeight="1" x14ac:dyDescent="0.25">
      <c r="A14" s="17" t="s">
        <v>22</v>
      </c>
      <c r="B14" s="18" t="s">
        <v>23</v>
      </c>
    </row>
    <row r="16" spans="1:2" ht="15.6" x14ac:dyDescent="0.3">
      <c r="A16" s="19" t="s">
        <v>24</v>
      </c>
    </row>
    <row r="17" spans="1:7" x14ac:dyDescent="0.25">
      <c r="A17" s="20" t="s">
        <v>25</v>
      </c>
      <c r="B17" s="20" t="s">
        <v>26</v>
      </c>
      <c r="C17" s="20" t="s">
        <v>27</v>
      </c>
      <c r="D17" s="20" t="s">
        <v>28</v>
      </c>
      <c r="E17" s="20" t="s">
        <v>29</v>
      </c>
      <c r="F17" s="20" t="s">
        <v>30</v>
      </c>
      <c r="G17" s="20" t="s">
        <v>31</v>
      </c>
    </row>
    <row r="18" spans="1:7" ht="42" customHeight="1" x14ac:dyDescent="0.25">
      <c r="A18" s="21" t="s">
        <v>32</v>
      </c>
      <c r="B18" s="21" t="s">
        <v>33</v>
      </c>
      <c r="C18" s="21">
        <v>8</v>
      </c>
      <c r="D18" s="21" t="s">
        <v>34</v>
      </c>
      <c r="E18" s="21" t="s">
        <v>35</v>
      </c>
      <c r="F18" s="21" t="s">
        <v>36</v>
      </c>
      <c r="G18" s="21" t="s">
        <v>37</v>
      </c>
    </row>
    <row r="19" spans="1:7" ht="42" customHeight="1" x14ac:dyDescent="0.25">
      <c r="A19" s="21" t="s">
        <v>38</v>
      </c>
      <c r="B19" s="21" t="s">
        <v>39</v>
      </c>
      <c r="C19" s="21">
        <v>7</v>
      </c>
      <c r="D19" s="21" t="s">
        <v>40</v>
      </c>
      <c r="E19" s="21" t="s">
        <v>41</v>
      </c>
      <c r="F19" s="21" t="s">
        <v>42</v>
      </c>
      <c r="G19" s="21" t="s">
        <v>43</v>
      </c>
    </row>
    <row r="20" spans="1:7" ht="42" customHeight="1" x14ac:dyDescent="0.25">
      <c r="A20" s="21" t="s">
        <v>44</v>
      </c>
      <c r="B20" s="21" t="s">
        <v>45</v>
      </c>
      <c r="C20" s="21">
        <v>5</v>
      </c>
      <c r="D20" s="21" t="s">
        <v>46</v>
      </c>
      <c r="E20" s="21" t="s">
        <v>47</v>
      </c>
      <c r="F20" s="21" t="s">
        <v>48</v>
      </c>
      <c r="G20" s="21" t="s">
        <v>49</v>
      </c>
    </row>
    <row r="21" spans="1:7" ht="42" customHeight="1" x14ac:dyDescent="0.25">
      <c r="A21" s="21" t="s">
        <v>50</v>
      </c>
      <c r="B21" s="21" t="s">
        <v>51</v>
      </c>
      <c r="C21" s="21">
        <v>6</v>
      </c>
      <c r="D21" s="21" t="s">
        <v>52</v>
      </c>
      <c r="E21" s="21" t="s">
        <v>53</v>
      </c>
      <c r="F21" s="21" t="s">
        <v>54</v>
      </c>
      <c r="G21" s="21" t="s">
        <v>55</v>
      </c>
    </row>
    <row r="22" spans="1:7" ht="42" customHeight="1" x14ac:dyDescent="0.25">
      <c r="A22" s="21" t="s">
        <v>56</v>
      </c>
      <c r="B22" s="21" t="s">
        <v>57</v>
      </c>
      <c r="C22" s="21">
        <v>4</v>
      </c>
      <c r="D22" s="21" t="s">
        <v>58</v>
      </c>
      <c r="E22" s="21" t="s">
        <v>59</v>
      </c>
      <c r="F22" s="21" t="s">
        <v>60</v>
      </c>
      <c r="G22" s="21" t="s">
        <v>55</v>
      </c>
    </row>
    <row r="23" spans="1:7" x14ac:dyDescent="0.25">
      <c r="A23" s="22" t="s">
        <v>61</v>
      </c>
      <c r="C23" s="22">
        <f>SUM(C18:C22)</f>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1"/>
  <sheetViews>
    <sheetView workbookViewId="0"/>
  </sheetViews>
  <sheetFormatPr defaultColWidth="8.6640625" defaultRowHeight="13.2" x14ac:dyDescent="0.25"/>
  <cols>
    <col min="1" max="1" width="10" customWidth="1"/>
    <col min="2" max="2" width="21" customWidth="1"/>
    <col min="3" max="3" width="11" customWidth="1"/>
    <col min="4" max="4" width="10" customWidth="1"/>
    <col min="5" max="5" width="14" customWidth="1"/>
    <col min="6" max="6" width="42" customWidth="1"/>
    <col min="7" max="10" width="10" customWidth="1"/>
    <col min="11" max="11" width="13" customWidth="1"/>
  </cols>
  <sheetData>
    <row r="1" spans="1:11" x14ac:dyDescent="0.25">
      <c r="A1" s="20" t="s">
        <v>62</v>
      </c>
      <c r="B1" s="20" t="s">
        <v>63</v>
      </c>
      <c r="C1" s="20" t="s">
        <v>64</v>
      </c>
      <c r="D1" s="20" t="s">
        <v>65</v>
      </c>
      <c r="E1" s="20" t="s">
        <v>66</v>
      </c>
      <c r="F1" s="20" t="s">
        <v>67</v>
      </c>
      <c r="G1" s="20" t="s">
        <v>68</v>
      </c>
      <c r="H1" s="20" t="s">
        <v>69</v>
      </c>
      <c r="I1" s="20" t="s">
        <v>70</v>
      </c>
      <c r="J1" s="20" t="s">
        <v>71</v>
      </c>
      <c r="K1" s="20" t="s">
        <v>72</v>
      </c>
    </row>
    <row r="2" spans="1:11" ht="14.4" x14ac:dyDescent="0.3">
      <c r="A2" t="s">
        <v>73</v>
      </c>
      <c r="B2" s="23">
        <v>45881.333333333299</v>
      </c>
      <c r="C2" t="s">
        <v>74</v>
      </c>
      <c r="D2" t="s">
        <v>75</v>
      </c>
      <c r="E2" t="s">
        <v>76</v>
      </c>
      <c r="F2" t="s">
        <v>77</v>
      </c>
      <c r="G2">
        <v>5953</v>
      </c>
      <c r="H2">
        <v>445</v>
      </c>
      <c r="I2">
        <v>15</v>
      </c>
      <c r="J2">
        <v>40</v>
      </c>
      <c r="K2">
        <v>6</v>
      </c>
    </row>
    <row r="3" spans="1:11" ht="14.4" x14ac:dyDescent="0.3">
      <c r="A3" t="s">
        <v>78</v>
      </c>
      <c r="B3" s="23">
        <v>45936.416666666701</v>
      </c>
      <c r="C3" t="s">
        <v>79</v>
      </c>
      <c r="D3" t="s">
        <v>80</v>
      </c>
      <c r="E3" t="s">
        <v>81</v>
      </c>
      <c r="F3" t="s">
        <v>82</v>
      </c>
      <c r="G3">
        <v>12768</v>
      </c>
      <c r="H3">
        <v>435</v>
      </c>
      <c r="I3">
        <v>22</v>
      </c>
      <c r="J3">
        <v>56</v>
      </c>
      <c r="K3">
        <v>49</v>
      </c>
    </row>
    <row r="4" spans="1:11" ht="14.4" x14ac:dyDescent="0.3">
      <c r="A4" t="s">
        <v>83</v>
      </c>
      <c r="B4" s="23">
        <v>46057.375</v>
      </c>
      <c r="C4" t="s">
        <v>84</v>
      </c>
      <c r="D4" t="s">
        <v>85</v>
      </c>
      <c r="E4" t="s">
        <v>76</v>
      </c>
      <c r="F4" t="s">
        <v>86</v>
      </c>
      <c r="G4">
        <v>4945</v>
      </c>
      <c r="H4">
        <v>205</v>
      </c>
      <c r="I4">
        <v>12</v>
      </c>
      <c r="J4">
        <v>4</v>
      </c>
      <c r="K4">
        <v>45</v>
      </c>
    </row>
    <row r="5" spans="1:11" ht="14.4" x14ac:dyDescent="0.3">
      <c r="A5" t="s">
        <v>87</v>
      </c>
      <c r="B5" s="23">
        <v>45945.416666666701</v>
      </c>
      <c r="C5" t="s">
        <v>74</v>
      </c>
      <c r="D5" t="s">
        <v>85</v>
      </c>
      <c r="E5" t="s">
        <v>88</v>
      </c>
      <c r="F5" t="s">
        <v>89</v>
      </c>
      <c r="G5">
        <v>7341</v>
      </c>
      <c r="H5">
        <v>364</v>
      </c>
      <c r="I5">
        <v>27</v>
      </c>
      <c r="J5">
        <v>40</v>
      </c>
      <c r="K5">
        <v>58</v>
      </c>
    </row>
    <row r="6" spans="1:11" ht="14.4" x14ac:dyDescent="0.3">
      <c r="A6" t="s">
        <v>90</v>
      </c>
      <c r="B6" s="23">
        <v>45905</v>
      </c>
      <c r="C6" t="s">
        <v>84</v>
      </c>
      <c r="D6" t="s">
        <v>80</v>
      </c>
      <c r="E6" t="s">
        <v>91</v>
      </c>
      <c r="F6" t="s">
        <v>92</v>
      </c>
      <c r="G6">
        <v>25876</v>
      </c>
      <c r="H6">
        <v>2041</v>
      </c>
      <c r="I6">
        <v>171</v>
      </c>
      <c r="J6">
        <v>225</v>
      </c>
      <c r="K6">
        <v>214</v>
      </c>
    </row>
    <row r="7" spans="1:11" ht="14.4" x14ac:dyDescent="0.3">
      <c r="A7" t="s">
        <v>93</v>
      </c>
      <c r="B7" s="23">
        <v>46093.041666666701</v>
      </c>
      <c r="C7" t="s">
        <v>74</v>
      </c>
      <c r="D7" t="s">
        <v>80</v>
      </c>
      <c r="E7" t="s">
        <v>94</v>
      </c>
      <c r="F7" t="s">
        <v>95</v>
      </c>
      <c r="G7">
        <v>46761</v>
      </c>
      <c r="H7">
        <v>2252</v>
      </c>
      <c r="I7">
        <v>94</v>
      </c>
      <c r="J7">
        <v>63</v>
      </c>
      <c r="K7">
        <v>447</v>
      </c>
    </row>
    <row r="8" spans="1:11" ht="14.4" x14ac:dyDescent="0.3">
      <c r="A8" t="s">
        <v>96</v>
      </c>
      <c r="B8" s="23">
        <v>46081.041666666701</v>
      </c>
      <c r="C8" t="s">
        <v>79</v>
      </c>
      <c r="D8" t="s">
        <v>97</v>
      </c>
      <c r="E8" t="s">
        <v>94</v>
      </c>
      <c r="F8" t="s">
        <v>98</v>
      </c>
      <c r="G8">
        <v>3105</v>
      </c>
      <c r="H8">
        <v>107</v>
      </c>
      <c r="I8">
        <v>3</v>
      </c>
      <c r="J8">
        <v>1</v>
      </c>
      <c r="K8">
        <v>4</v>
      </c>
    </row>
    <row r="9" spans="1:11" ht="14.4" x14ac:dyDescent="0.3">
      <c r="A9" t="s">
        <v>99</v>
      </c>
      <c r="B9" s="23">
        <v>45874.291666666701</v>
      </c>
      <c r="C9" t="s">
        <v>100</v>
      </c>
      <c r="D9" t="s">
        <v>97</v>
      </c>
      <c r="E9" t="s">
        <v>94</v>
      </c>
      <c r="F9" t="s">
        <v>101</v>
      </c>
      <c r="G9">
        <v>2523</v>
      </c>
      <c r="H9">
        <v>128</v>
      </c>
      <c r="I9">
        <v>8</v>
      </c>
      <c r="J9">
        <v>1</v>
      </c>
      <c r="K9">
        <v>19</v>
      </c>
    </row>
    <row r="10" spans="1:11" ht="14.4" x14ac:dyDescent="0.3">
      <c r="A10" t="s">
        <v>102</v>
      </c>
      <c r="B10" s="23">
        <v>45871.916666666701</v>
      </c>
      <c r="C10" t="s">
        <v>74</v>
      </c>
      <c r="D10" t="s">
        <v>75</v>
      </c>
      <c r="E10" t="s">
        <v>88</v>
      </c>
      <c r="F10" t="s">
        <v>103</v>
      </c>
      <c r="G10">
        <v>7609</v>
      </c>
      <c r="H10">
        <v>624</v>
      </c>
      <c r="I10">
        <v>24</v>
      </c>
      <c r="J10">
        <v>12</v>
      </c>
      <c r="K10">
        <v>72</v>
      </c>
    </row>
    <row r="11" spans="1:11" ht="14.4" x14ac:dyDescent="0.3">
      <c r="A11" t="s">
        <v>104</v>
      </c>
      <c r="B11" s="23">
        <v>46084.75</v>
      </c>
      <c r="C11" t="s">
        <v>79</v>
      </c>
      <c r="D11" t="s">
        <v>85</v>
      </c>
      <c r="E11" t="s">
        <v>76</v>
      </c>
      <c r="F11" t="s">
        <v>105</v>
      </c>
      <c r="G11">
        <v>10179</v>
      </c>
      <c r="H11">
        <v>688</v>
      </c>
      <c r="I11">
        <v>37</v>
      </c>
      <c r="J11">
        <v>99</v>
      </c>
      <c r="K11">
        <v>30</v>
      </c>
    </row>
    <row r="12" spans="1:11" ht="14.4" x14ac:dyDescent="0.3">
      <c r="A12" t="s">
        <v>106</v>
      </c>
      <c r="B12" s="23">
        <v>45849.875</v>
      </c>
      <c r="C12" t="s">
        <v>74</v>
      </c>
      <c r="D12" t="s">
        <v>75</v>
      </c>
      <c r="E12" t="s">
        <v>91</v>
      </c>
      <c r="F12" t="s">
        <v>107</v>
      </c>
      <c r="G12">
        <v>11477</v>
      </c>
      <c r="H12">
        <v>823</v>
      </c>
      <c r="I12">
        <v>50</v>
      </c>
      <c r="J12">
        <v>53</v>
      </c>
      <c r="K12">
        <v>97</v>
      </c>
    </row>
    <row r="13" spans="1:11" ht="14.4" x14ac:dyDescent="0.3">
      <c r="A13" t="s">
        <v>108</v>
      </c>
      <c r="B13" s="23">
        <v>46008.416666666701</v>
      </c>
      <c r="C13" t="s">
        <v>74</v>
      </c>
      <c r="D13" t="s">
        <v>97</v>
      </c>
      <c r="E13" t="s">
        <v>76</v>
      </c>
      <c r="F13" t="s">
        <v>109</v>
      </c>
      <c r="G13">
        <v>3590</v>
      </c>
      <c r="H13">
        <v>283</v>
      </c>
      <c r="I13">
        <v>26</v>
      </c>
      <c r="J13">
        <v>26</v>
      </c>
      <c r="K13">
        <v>31</v>
      </c>
    </row>
    <row r="14" spans="1:11" ht="14.4" x14ac:dyDescent="0.3">
      <c r="A14" t="s">
        <v>110</v>
      </c>
      <c r="B14" s="23">
        <v>45940.708333333299</v>
      </c>
      <c r="C14" t="s">
        <v>74</v>
      </c>
      <c r="D14" t="s">
        <v>80</v>
      </c>
      <c r="E14" t="s">
        <v>111</v>
      </c>
      <c r="F14" t="s">
        <v>98</v>
      </c>
      <c r="G14">
        <v>21094</v>
      </c>
      <c r="H14">
        <v>1563</v>
      </c>
      <c r="I14">
        <v>149</v>
      </c>
      <c r="J14">
        <v>147</v>
      </c>
      <c r="K14">
        <v>176</v>
      </c>
    </row>
    <row r="15" spans="1:11" ht="14.4" x14ac:dyDescent="0.3">
      <c r="A15" t="s">
        <v>112</v>
      </c>
      <c r="B15" s="23">
        <v>45850.708333333299</v>
      </c>
      <c r="C15" t="s">
        <v>74</v>
      </c>
      <c r="D15" t="s">
        <v>85</v>
      </c>
      <c r="E15" t="s">
        <v>76</v>
      </c>
      <c r="F15" t="s">
        <v>113</v>
      </c>
      <c r="G15">
        <v>4370</v>
      </c>
      <c r="H15">
        <v>135</v>
      </c>
      <c r="I15">
        <v>4</v>
      </c>
      <c r="J15">
        <v>17</v>
      </c>
      <c r="K15">
        <v>32</v>
      </c>
    </row>
    <row r="16" spans="1:11" ht="14.4" x14ac:dyDescent="0.3">
      <c r="A16" t="s">
        <v>114</v>
      </c>
      <c r="B16" s="23">
        <v>45927.416666666701</v>
      </c>
      <c r="C16" t="s">
        <v>84</v>
      </c>
      <c r="D16" t="s">
        <v>75</v>
      </c>
      <c r="E16" t="s">
        <v>115</v>
      </c>
      <c r="F16" t="s">
        <v>116</v>
      </c>
      <c r="G16">
        <v>11734</v>
      </c>
      <c r="H16">
        <v>856</v>
      </c>
      <c r="I16">
        <v>52</v>
      </c>
      <c r="J16">
        <v>100</v>
      </c>
      <c r="K16">
        <v>38</v>
      </c>
    </row>
    <row r="17" spans="1:11" ht="14.4" x14ac:dyDescent="0.3">
      <c r="A17" t="s">
        <v>117</v>
      </c>
      <c r="B17" s="23">
        <v>45958.083333333299</v>
      </c>
      <c r="C17" t="s">
        <v>74</v>
      </c>
      <c r="D17" t="s">
        <v>75</v>
      </c>
      <c r="E17" t="s">
        <v>91</v>
      </c>
      <c r="F17" t="s">
        <v>118</v>
      </c>
      <c r="G17">
        <v>13547</v>
      </c>
      <c r="H17">
        <v>441</v>
      </c>
      <c r="I17">
        <v>42</v>
      </c>
      <c r="J17">
        <v>12</v>
      </c>
      <c r="K17">
        <v>67</v>
      </c>
    </row>
    <row r="18" spans="1:11" ht="14.4" x14ac:dyDescent="0.3">
      <c r="A18" t="s">
        <v>119</v>
      </c>
      <c r="B18" s="23">
        <v>45790.291666666701</v>
      </c>
      <c r="C18" t="s">
        <v>74</v>
      </c>
      <c r="D18" t="s">
        <v>85</v>
      </c>
      <c r="E18" t="s">
        <v>94</v>
      </c>
      <c r="F18" t="s">
        <v>120</v>
      </c>
      <c r="G18">
        <v>9949</v>
      </c>
      <c r="H18">
        <v>667</v>
      </c>
      <c r="I18">
        <v>32</v>
      </c>
      <c r="J18">
        <v>97</v>
      </c>
      <c r="K18">
        <v>54</v>
      </c>
    </row>
    <row r="19" spans="1:11" ht="14.4" x14ac:dyDescent="0.3">
      <c r="A19" t="s">
        <v>121</v>
      </c>
      <c r="B19" s="23">
        <v>46057.75</v>
      </c>
      <c r="C19" t="s">
        <v>79</v>
      </c>
      <c r="D19" t="s">
        <v>80</v>
      </c>
      <c r="E19" t="s">
        <v>76</v>
      </c>
      <c r="F19" t="s">
        <v>122</v>
      </c>
      <c r="G19">
        <v>17469</v>
      </c>
      <c r="H19">
        <v>1350</v>
      </c>
      <c r="I19">
        <v>130</v>
      </c>
      <c r="J19">
        <v>78</v>
      </c>
      <c r="K19">
        <v>64</v>
      </c>
    </row>
    <row r="20" spans="1:11" ht="14.4" x14ac:dyDescent="0.3">
      <c r="A20" t="s">
        <v>123</v>
      </c>
      <c r="B20" s="23">
        <v>46008.458333333299</v>
      </c>
      <c r="C20" t="s">
        <v>74</v>
      </c>
      <c r="D20" t="s">
        <v>80</v>
      </c>
      <c r="E20" t="s">
        <v>94</v>
      </c>
      <c r="F20" t="s">
        <v>124</v>
      </c>
      <c r="G20">
        <v>21735</v>
      </c>
      <c r="H20">
        <v>1548</v>
      </c>
      <c r="I20">
        <v>100</v>
      </c>
      <c r="J20">
        <v>232</v>
      </c>
      <c r="K20">
        <v>130</v>
      </c>
    </row>
    <row r="21" spans="1:11" ht="14.4" x14ac:dyDescent="0.3">
      <c r="A21" t="s">
        <v>125</v>
      </c>
      <c r="B21" s="23">
        <v>46017.916666666701</v>
      </c>
      <c r="C21" t="s">
        <v>74</v>
      </c>
      <c r="D21" t="s">
        <v>80</v>
      </c>
      <c r="E21" t="s">
        <v>91</v>
      </c>
      <c r="F21" t="s">
        <v>126</v>
      </c>
      <c r="G21">
        <v>68471</v>
      </c>
      <c r="H21">
        <v>4697</v>
      </c>
      <c r="I21">
        <v>135</v>
      </c>
      <c r="J21">
        <v>672</v>
      </c>
      <c r="K21">
        <v>115</v>
      </c>
    </row>
    <row r="22" spans="1:11" ht="14.4" x14ac:dyDescent="0.3">
      <c r="A22" t="s">
        <v>127</v>
      </c>
      <c r="B22" s="23">
        <v>45815.5</v>
      </c>
      <c r="C22" t="s">
        <v>74</v>
      </c>
      <c r="D22" t="s">
        <v>128</v>
      </c>
      <c r="E22" t="s">
        <v>111</v>
      </c>
      <c r="F22" t="s">
        <v>129</v>
      </c>
      <c r="G22">
        <v>19613</v>
      </c>
      <c r="H22">
        <v>1565</v>
      </c>
      <c r="I22">
        <v>129</v>
      </c>
      <c r="J22">
        <v>147</v>
      </c>
      <c r="K22">
        <v>145</v>
      </c>
    </row>
    <row r="23" spans="1:11" ht="14.4" x14ac:dyDescent="0.3">
      <c r="A23" t="s">
        <v>130</v>
      </c>
      <c r="B23" s="23">
        <v>45932.875</v>
      </c>
      <c r="C23" t="s">
        <v>79</v>
      </c>
      <c r="D23" t="s">
        <v>80</v>
      </c>
      <c r="E23" t="s">
        <v>131</v>
      </c>
      <c r="F23" t="s">
        <v>132</v>
      </c>
      <c r="G23">
        <v>33858</v>
      </c>
      <c r="H23">
        <v>2948</v>
      </c>
      <c r="I23">
        <v>112</v>
      </c>
      <c r="J23">
        <v>32</v>
      </c>
      <c r="K23">
        <v>134</v>
      </c>
    </row>
    <row r="24" spans="1:11" ht="14.4" x14ac:dyDescent="0.3">
      <c r="A24" t="s">
        <v>133</v>
      </c>
      <c r="B24" s="23">
        <v>45988</v>
      </c>
      <c r="C24" t="s">
        <v>74</v>
      </c>
      <c r="D24" t="s">
        <v>80</v>
      </c>
      <c r="E24" t="s">
        <v>131</v>
      </c>
      <c r="F24" t="s">
        <v>134</v>
      </c>
      <c r="G24">
        <v>18795</v>
      </c>
      <c r="H24">
        <v>1677</v>
      </c>
      <c r="I24">
        <v>72</v>
      </c>
      <c r="J24">
        <v>237</v>
      </c>
      <c r="K24">
        <v>72</v>
      </c>
    </row>
    <row r="25" spans="1:11" ht="14.4" x14ac:dyDescent="0.3">
      <c r="A25" t="s">
        <v>135</v>
      </c>
      <c r="B25" s="23">
        <v>45974.166666666701</v>
      </c>
      <c r="C25" t="s">
        <v>74</v>
      </c>
      <c r="D25" t="s">
        <v>80</v>
      </c>
      <c r="E25" t="s">
        <v>76</v>
      </c>
      <c r="F25" t="s">
        <v>136</v>
      </c>
      <c r="G25">
        <v>8485</v>
      </c>
      <c r="H25">
        <v>281</v>
      </c>
      <c r="I25">
        <v>19</v>
      </c>
      <c r="J25">
        <v>5</v>
      </c>
      <c r="K25">
        <v>11</v>
      </c>
    </row>
    <row r="26" spans="1:11" ht="14.4" x14ac:dyDescent="0.3">
      <c r="A26" t="s">
        <v>137</v>
      </c>
      <c r="B26" s="23">
        <v>46065.25</v>
      </c>
      <c r="C26" t="s">
        <v>79</v>
      </c>
      <c r="D26" t="s">
        <v>75</v>
      </c>
      <c r="E26" t="s">
        <v>81</v>
      </c>
      <c r="F26" t="s">
        <v>138</v>
      </c>
      <c r="G26">
        <v>11054</v>
      </c>
      <c r="H26">
        <v>372</v>
      </c>
      <c r="I26">
        <v>15</v>
      </c>
      <c r="J26">
        <v>13</v>
      </c>
      <c r="K26">
        <v>14</v>
      </c>
    </row>
    <row r="27" spans="1:11" ht="14.4" x14ac:dyDescent="0.3">
      <c r="A27" t="s">
        <v>139</v>
      </c>
      <c r="B27" s="23">
        <v>45851.333333333299</v>
      </c>
      <c r="C27" t="s">
        <v>79</v>
      </c>
      <c r="D27" t="s">
        <v>128</v>
      </c>
      <c r="E27" t="s">
        <v>76</v>
      </c>
      <c r="F27" t="s">
        <v>140</v>
      </c>
      <c r="G27">
        <v>7452</v>
      </c>
      <c r="H27">
        <v>432</v>
      </c>
      <c r="I27">
        <v>20</v>
      </c>
      <c r="J27">
        <v>28</v>
      </c>
      <c r="K27">
        <v>15</v>
      </c>
    </row>
    <row r="28" spans="1:11" ht="14.4" x14ac:dyDescent="0.3">
      <c r="A28" t="s">
        <v>141</v>
      </c>
      <c r="B28" s="23">
        <v>46055.833333333299</v>
      </c>
      <c r="C28" t="s">
        <v>84</v>
      </c>
      <c r="D28" t="s">
        <v>75</v>
      </c>
      <c r="E28" t="s">
        <v>111</v>
      </c>
      <c r="F28" t="s">
        <v>142</v>
      </c>
      <c r="G28">
        <v>28071</v>
      </c>
      <c r="H28">
        <v>1888</v>
      </c>
      <c r="I28">
        <v>133</v>
      </c>
      <c r="J28">
        <v>45</v>
      </c>
      <c r="K28">
        <v>193</v>
      </c>
    </row>
    <row r="29" spans="1:11" ht="14.4" x14ac:dyDescent="0.3">
      <c r="A29" t="s">
        <v>143</v>
      </c>
      <c r="B29" s="23">
        <v>45922.916666666701</v>
      </c>
      <c r="C29" t="s">
        <v>74</v>
      </c>
      <c r="D29" t="s">
        <v>85</v>
      </c>
      <c r="E29" t="s">
        <v>111</v>
      </c>
      <c r="F29" t="s">
        <v>144</v>
      </c>
      <c r="G29">
        <v>25268</v>
      </c>
      <c r="H29">
        <v>1990</v>
      </c>
      <c r="I29">
        <v>160</v>
      </c>
      <c r="J29">
        <v>268</v>
      </c>
      <c r="K29">
        <v>182</v>
      </c>
    </row>
    <row r="30" spans="1:11" ht="14.4" x14ac:dyDescent="0.3">
      <c r="A30" t="s">
        <v>145</v>
      </c>
      <c r="B30" s="23">
        <v>45866.208333333299</v>
      </c>
      <c r="C30" t="s">
        <v>74</v>
      </c>
      <c r="D30" t="s">
        <v>75</v>
      </c>
      <c r="E30" t="s">
        <v>94</v>
      </c>
      <c r="F30" t="s">
        <v>146</v>
      </c>
      <c r="G30">
        <v>13827</v>
      </c>
      <c r="H30">
        <v>1221</v>
      </c>
      <c r="I30">
        <v>77</v>
      </c>
      <c r="J30">
        <v>121</v>
      </c>
      <c r="K30">
        <v>75</v>
      </c>
    </row>
    <row r="31" spans="1:11" ht="14.4" x14ac:dyDescent="0.3">
      <c r="A31" t="s">
        <v>147</v>
      </c>
      <c r="B31" s="23">
        <v>46083.708333333299</v>
      </c>
      <c r="C31" t="s">
        <v>84</v>
      </c>
      <c r="D31" t="s">
        <v>80</v>
      </c>
      <c r="E31" t="s">
        <v>88</v>
      </c>
      <c r="F31" t="s">
        <v>148</v>
      </c>
      <c r="G31">
        <v>27234</v>
      </c>
      <c r="H31">
        <v>2124</v>
      </c>
      <c r="I31">
        <v>209</v>
      </c>
      <c r="J31">
        <v>256</v>
      </c>
      <c r="K31">
        <v>154</v>
      </c>
    </row>
    <row r="32" spans="1:11" ht="14.4" x14ac:dyDescent="0.3">
      <c r="A32" t="s">
        <v>149</v>
      </c>
      <c r="B32" s="23">
        <v>45750.291666666701</v>
      </c>
      <c r="C32" t="s">
        <v>74</v>
      </c>
      <c r="D32" t="s">
        <v>80</v>
      </c>
      <c r="E32" t="s">
        <v>111</v>
      </c>
      <c r="F32" t="s">
        <v>150</v>
      </c>
      <c r="G32">
        <v>60749</v>
      </c>
      <c r="H32">
        <v>2248</v>
      </c>
      <c r="I32">
        <v>165</v>
      </c>
      <c r="J32">
        <v>87</v>
      </c>
      <c r="K32">
        <v>515</v>
      </c>
    </row>
    <row r="33" spans="1:11" ht="14.4" x14ac:dyDescent="0.3">
      <c r="A33" t="s">
        <v>151</v>
      </c>
      <c r="B33" s="23">
        <v>45769.875</v>
      </c>
      <c r="C33" t="s">
        <v>74</v>
      </c>
      <c r="D33" t="s">
        <v>80</v>
      </c>
      <c r="E33" t="s">
        <v>94</v>
      </c>
      <c r="F33" t="s">
        <v>152</v>
      </c>
      <c r="G33">
        <v>34527</v>
      </c>
      <c r="H33">
        <v>1925</v>
      </c>
      <c r="I33">
        <v>95</v>
      </c>
      <c r="J33">
        <v>126</v>
      </c>
      <c r="K33">
        <v>206</v>
      </c>
    </row>
    <row r="34" spans="1:11" ht="14.4" x14ac:dyDescent="0.3">
      <c r="A34" t="s">
        <v>153</v>
      </c>
      <c r="B34" s="23">
        <v>45838.208333333299</v>
      </c>
      <c r="C34" t="s">
        <v>74</v>
      </c>
      <c r="D34" t="s">
        <v>80</v>
      </c>
      <c r="E34" t="s">
        <v>81</v>
      </c>
      <c r="F34" t="s">
        <v>154</v>
      </c>
      <c r="G34">
        <v>17244</v>
      </c>
      <c r="H34">
        <v>651</v>
      </c>
      <c r="I34">
        <v>29</v>
      </c>
      <c r="J34">
        <v>78</v>
      </c>
      <c r="K34">
        <v>107</v>
      </c>
    </row>
    <row r="35" spans="1:11" ht="14.4" x14ac:dyDescent="0.3">
      <c r="A35" t="s">
        <v>155</v>
      </c>
      <c r="B35" s="23">
        <v>45921.875</v>
      </c>
      <c r="C35" t="s">
        <v>74</v>
      </c>
      <c r="D35" t="s">
        <v>80</v>
      </c>
      <c r="E35" t="s">
        <v>115</v>
      </c>
      <c r="F35" t="s">
        <v>156</v>
      </c>
      <c r="G35">
        <v>11647</v>
      </c>
      <c r="H35">
        <v>482</v>
      </c>
      <c r="I35">
        <v>38</v>
      </c>
      <c r="J35">
        <v>47</v>
      </c>
      <c r="K35">
        <v>72</v>
      </c>
    </row>
    <row r="36" spans="1:11" ht="14.4" x14ac:dyDescent="0.3">
      <c r="A36" t="s">
        <v>157</v>
      </c>
      <c r="B36" s="23">
        <v>45855.666666666701</v>
      </c>
      <c r="C36" t="s">
        <v>74</v>
      </c>
      <c r="D36" t="s">
        <v>80</v>
      </c>
      <c r="E36" t="s">
        <v>94</v>
      </c>
      <c r="F36" t="s">
        <v>103</v>
      </c>
      <c r="G36">
        <v>28297</v>
      </c>
      <c r="H36">
        <v>1952</v>
      </c>
      <c r="I36">
        <v>113</v>
      </c>
      <c r="J36">
        <v>102</v>
      </c>
      <c r="K36">
        <v>51</v>
      </c>
    </row>
    <row r="37" spans="1:11" ht="14.4" x14ac:dyDescent="0.3">
      <c r="A37" t="s">
        <v>158</v>
      </c>
      <c r="B37" s="23">
        <v>45884.875</v>
      </c>
      <c r="C37" t="s">
        <v>74</v>
      </c>
      <c r="D37" t="s">
        <v>75</v>
      </c>
      <c r="E37" t="s">
        <v>111</v>
      </c>
      <c r="F37" t="s">
        <v>107</v>
      </c>
      <c r="G37">
        <v>14981</v>
      </c>
      <c r="H37">
        <v>1328</v>
      </c>
      <c r="I37">
        <v>71</v>
      </c>
      <c r="J37">
        <v>183</v>
      </c>
      <c r="K37">
        <v>91</v>
      </c>
    </row>
    <row r="38" spans="1:11" ht="14.4" x14ac:dyDescent="0.3">
      <c r="A38" t="s">
        <v>159</v>
      </c>
      <c r="B38" s="23">
        <v>45862.166666666701</v>
      </c>
      <c r="C38" t="s">
        <v>74</v>
      </c>
      <c r="D38" t="s">
        <v>80</v>
      </c>
      <c r="E38" t="s">
        <v>91</v>
      </c>
      <c r="F38" t="s">
        <v>160</v>
      </c>
      <c r="G38">
        <v>9444</v>
      </c>
      <c r="H38">
        <v>729</v>
      </c>
      <c r="I38">
        <v>64</v>
      </c>
      <c r="J38">
        <v>91</v>
      </c>
      <c r="K38">
        <v>89</v>
      </c>
    </row>
    <row r="39" spans="1:11" ht="14.4" x14ac:dyDescent="0.3">
      <c r="A39" t="s">
        <v>161</v>
      </c>
      <c r="B39" s="23">
        <v>45974.166666666701</v>
      </c>
      <c r="C39" t="s">
        <v>84</v>
      </c>
      <c r="D39" t="s">
        <v>75</v>
      </c>
      <c r="E39" t="s">
        <v>81</v>
      </c>
      <c r="F39" t="s">
        <v>162</v>
      </c>
      <c r="G39">
        <v>23858</v>
      </c>
      <c r="H39">
        <v>2098</v>
      </c>
      <c r="I39">
        <v>174</v>
      </c>
      <c r="J39">
        <v>71</v>
      </c>
      <c r="K39">
        <v>43</v>
      </c>
    </row>
    <row r="40" spans="1:11" ht="14.4" x14ac:dyDescent="0.3">
      <c r="A40" t="s">
        <v>163</v>
      </c>
      <c r="B40" s="23">
        <v>45995.333333333299</v>
      </c>
      <c r="C40" t="s">
        <v>79</v>
      </c>
      <c r="D40" t="s">
        <v>97</v>
      </c>
      <c r="E40" t="s">
        <v>131</v>
      </c>
      <c r="F40" t="s">
        <v>82</v>
      </c>
      <c r="G40">
        <v>12155</v>
      </c>
      <c r="H40">
        <v>794</v>
      </c>
      <c r="I40">
        <v>25</v>
      </c>
      <c r="J40">
        <v>10</v>
      </c>
      <c r="K40">
        <v>94</v>
      </c>
    </row>
    <row r="41" spans="1:11" ht="14.4" x14ac:dyDescent="0.3">
      <c r="A41" t="s">
        <v>164</v>
      </c>
      <c r="B41" s="23">
        <v>45958.833333333299</v>
      </c>
      <c r="C41" t="s">
        <v>74</v>
      </c>
      <c r="D41" t="s">
        <v>85</v>
      </c>
      <c r="E41" t="s">
        <v>76</v>
      </c>
      <c r="F41" t="s">
        <v>165</v>
      </c>
      <c r="G41">
        <v>11555</v>
      </c>
      <c r="H41">
        <v>662</v>
      </c>
      <c r="I41">
        <v>54</v>
      </c>
      <c r="J41">
        <v>20</v>
      </c>
      <c r="K41">
        <v>99</v>
      </c>
    </row>
    <row r="42" spans="1:11" ht="14.4" x14ac:dyDescent="0.3">
      <c r="A42" t="s">
        <v>166</v>
      </c>
      <c r="B42" s="23">
        <v>45963.291666666701</v>
      </c>
      <c r="C42" t="s">
        <v>74</v>
      </c>
      <c r="D42" t="s">
        <v>97</v>
      </c>
      <c r="E42" t="s">
        <v>115</v>
      </c>
      <c r="F42" t="s">
        <v>167</v>
      </c>
      <c r="G42">
        <v>2278</v>
      </c>
      <c r="H42">
        <v>171</v>
      </c>
      <c r="I42">
        <v>13</v>
      </c>
      <c r="J42">
        <v>10</v>
      </c>
      <c r="K42">
        <v>8</v>
      </c>
    </row>
    <row r="43" spans="1:11" ht="14.4" x14ac:dyDescent="0.3">
      <c r="A43" t="s">
        <v>168</v>
      </c>
      <c r="B43" s="23">
        <v>45781.958333333299</v>
      </c>
      <c r="C43" t="s">
        <v>100</v>
      </c>
      <c r="D43" t="s">
        <v>75</v>
      </c>
      <c r="E43" t="s">
        <v>88</v>
      </c>
      <c r="F43" t="s">
        <v>120</v>
      </c>
      <c r="G43">
        <v>11380</v>
      </c>
      <c r="H43">
        <v>838</v>
      </c>
      <c r="I43">
        <v>66</v>
      </c>
      <c r="J43">
        <v>109</v>
      </c>
      <c r="K43">
        <v>92</v>
      </c>
    </row>
    <row r="44" spans="1:11" ht="14.4" x14ac:dyDescent="0.3">
      <c r="A44" t="s">
        <v>169</v>
      </c>
      <c r="B44" s="23">
        <v>46002.791666666701</v>
      </c>
      <c r="C44" t="s">
        <v>79</v>
      </c>
      <c r="D44" t="s">
        <v>80</v>
      </c>
      <c r="E44" t="s">
        <v>115</v>
      </c>
      <c r="F44" t="s">
        <v>170</v>
      </c>
      <c r="G44">
        <v>16473</v>
      </c>
      <c r="H44">
        <v>757</v>
      </c>
      <c r="I44">
        <v>29</v>
      </c>
      <c r="J44">
        <v>61</v>
      </c>
      <c r="K44">
        <v>95</v>
      </c>
    </row>
    <row r="45" spans="1:11" ht="14.4" x14ac:dyDescent="0.3">
      <c r="A45" t="s">
        <v>171</v>
      </c>
      <c r="B45" s="23">
        <v>46048.458333333299</v>
      </c>
      <c r="C45" t="s">
        <v>74</v>
      </c>
      <c r="D45" t="s">
        <v>128</v>
      </c>
      <c r="E45" t="s">
        <v>81</v>
      </c>
      <c r="F45" t="s">
        <v>172</v>
      </c>
      <c r="G45">
        <v>7632</v>
      </c>
      <c r="H45">
        <v>230</v>
      </c>
      <c r="I45">
        <v>16</v>
      </c>
      <c r="J45">
        <v>3</v>
      </c>
      <c r="K45">
        <v>14</v>
      </c>
    </row>
    <row r="46" spans="1:11" ht="14.4" x14ac:dyDescent="0.3">
      <c r="A46" t="s">
        <v>173</v>
      </c>
      <c r="B46" s="23">
        <v>45794.125</v>
      </c>
      <c r="C46" t="s">
        <v>74</v>
      </c>
      <c r="D46" t="s">
        <v>85</v>
      </c>
      <c r="E46" t="s">
        <v>94</v>
      </c>
      <c r="F46" t="s">
        <v>174</v>
      </c>
      <c r="G46">
        <v>7475</v>
      </c>
      <c r="H46">
        <v>270</v>
      </c>
      <c r="I46">
        <v>10</v>
      </c>
      <c r="J46">
        <v>14</v>
      </c>
      <c r="K46">
        <v>14</v>
      </c>
    </row>
    <row r="47" spans="1:11" ht="14.4" x14ac:dyDescent="0.3">
      <c r="A47" t="s">
        <v>175</v>
      </c>
      <c r="B47" s="23">
        <v>45976.166666666701</v>
      </c>
      <c r="C47" t="s">
        <v>100</v>
      </c>
      <c r="D47" t="s">
        <v>97</v>
      </c>
      <c r="E47" t="s">
        <v>88</v>
      </c>
      <c r="F47" t="s">
        <v>176</v>
      </c>
      <c r="G47">
        <v>2538</v>
      </c>
      <c r="H47">
        <v>103</v>
      </c>
      <c r="I47">
        <v>7</v>
      </c>
      <c r="J47">
        <v>10</v>
      </c>
      <c r="K47">
        <v>19</v>
      </c>
    </row>
    <row r="48" spans="1:11" ht="14.4" x14ac:dyDescent="0.3">
      <c r="A48" t="s">
        <v>177</v>
      </c>
      <c r="B48" s="23">
        <v>45911.666666666701</v>
      </c>
      <c r="C48" t="s">
        <v>79</v>
      </c>
      <c r="D48" t="s">
        <v>75</v>
      </c>
      <c r="E48" t="s">
        <v>131</v>
      </c>
      <c r="F48" t="s">
        <v>178</v>
      </c>
      <c r="G48">
        <v>11941</v>
      </c>
      <c r="H48">
        <v>632</v>
      </c>
      <c r="I48">
        <v>19</v>
      </c>
      <c r="J48">
        <v>6</v>
      </c>
      <c r="K48">
        <v>69</v>
      </c>
    </row>
    <row r="49" spans="1:11" ht="14.4" x14ac:dyDescent="0.3">
      <c r="A49" t="s">
        <v>179</v>
      </c>
      <c r="B49" s="23">
        <v>46067.166666666701</v>
      </c>
      <c r="C49" t="s">
        <v>74</v>
      </c>
      <c r="D49" t="s">
        <v>97</v>
      </c>
      <c r="E49" t="s">
        <v>131</v>
      </c>
      <c r="F49" t="s">
        <v>180</v>
      </c>
      <c r="G49">
        <v>4700</v>
      </c>
      <c r="H49">
        <v>385</v>
      </c>
      <c r="I49">
        <v>35</v>
      </c>
      <c r="J49">
        <v>17</v>
      </c>
      <c r="K49">
        <v>18</v>
      </c>
    </row>
    <row r="50" spans="1:11" ht="14.4" x14ac:dyDescent="0.3">
      <c r="A50" t="s">
        <v>181</v>
      </c>
      <c r="B50" s="23">
        <v>45848.5</v>
      </c>
      <c r="C50" t="s">
        <v>100</v>
      </c>
      <c r="D50" t="s">
        <v>75</v>
      </c>
      <c r="E50" t="s">
        <v>88</v>
      </c>
      <c r="F50" t="s">
        <v>92</v>
      </c>
      <c r="G50">
        <v>4907</v>
      </c>
      <c r="H50">
        <v>218</v>
      </c>
      <c r="I50">
        <v>11</v>
      </c>
      <c r="J50">
        <v>2</v>
      </c>
      <c r="K50">
        <v>11</v>
      </c>
    </row>
    <row r="51" spans="1:11" ht="14.4" x14ac:dyDescent="0.3">
      <c r="A51" t="s">
        <v>182</v>
      </c>
      <c r="B51" s="23">
        <v>45921.208333333299</v>
      </c>
      <c r="C51" t="s">
        <v>74</v>
      </c>
      <c r="D51" t="s">
        <v>80</v>
      </c>
      <c r="E51" t="s">
        <v>76</v>
      </c>
      <c r="F51" t="s">
        <v>129</v>
      </c>
      <c r="G51">
        <v>7668</v>
      </c>
      <c r="H51">
        <v>327</v>
      </c>
      <c r="I51">
        <v>23</v>
      </c>
      <c r="J51">
        <v>29</v>
      </c>
      <c r="K51">
        <v>31</v>
      </c>
    </row>
    <row r="52" spans="1:11" ht="14.4" x14ac:dyDescent="0.3">
      <c r="A52" t="s">
        <v>183</v>
      </c>
      <c r="B52" s="23">
        <v>45860.708333333299</v>
      </c>
      <c r="C52" t="s">
        <v>74</v>
      </c>
      <c r="D52" t="s">
        <v>80</v>
      </c>
      <c r="E52" t="s">
        <v>111</v>
      </c>
      <c r="F52" t="s">
        <v>184</v>
      </c>
      <c r="G52">
        <v>34811</v>
      </c>
      <c r="H52">
        <v>1871</v>
      </c>
      <c r="I52">
        <v>56</v>
      </c>
      <c r="J52">
        <v>166</v>
      </c>
      <c r="K52">
        <v>43</v>
      </c>
    </row>
    <row r="53" spans="1:11" ht="14.4" x14ac:dyDescent="0.3">
      <c r="A53" t="s">
        <v>185</v>
      </c>
      <c r="B53" s="23">
        <v>45884.416666666701</v>
      </c>
      <c r="C53" t="s">
        <v>79</v>
      </c>
      <c r="D53" t="s">
        <v>75</v>
      </c>
      <c r="E53" t="s">
        <v>115</v>
      </c>
      <c r="F53" t="s">
        <v>186</v>
      </c>
      <c r="G53">
        <v>20837</v>
      </c>
      <c r="H53">
        <v>1830</v>
      </c>
      <c r="I53">
        <v>112</v>
      </c>
      <c r="J53">
        <v>270</v>
      </c>
      <c r="K53">
        <v>44</v>
      </c>
    </row>
    <row r="54" spans="1:11" ht="14.4" x14ac:dyDescent="0.3">
      <c r="A54" t="s">
        <v>187</v>
      </c>
      <c r="B54" s="23">
        <v>45936.958333333299</v>
      </c>
      <c r="C54" t="s">
        <v>74</v>
      </c>
      <c r="D54" t="s">
        <v>75</v>
      </c>
      <c r="E54" t="s">
        <v>131</v>
      </c>
      <c r="F54" t="s">
        <v>188</v>
      </c>
      <c r="G54">
        <v>12266</v>
      </c>
      <c r="H54">
        <v>593</v>
      </c>
      <c r="I54">
        <v>47</v>
      </c>
      <c r="J54">
        <v>41</v>
      </c>
      <c r="K54">
        <v>60</v>
      </c>
    </row>
    <row r="55" spans="1:11" ht="14.4" x14ac:dyDescent="0.3">
      <c r="A55" t="s">
        <v>189</v>
      </c>
      <c r="B55" s="23">
        <v>45985.625</v>
      </c>
      <c r="C55" t="s">
        <v>74</v>
      </c>
      <c r="D55" t="s">
        <v>80</v>
      </c>
      <c r="E55" t="s">
        <v>131</v>
      </c>
      <c r="F55" t="s">
        <v>190</v>
      </c>
      <c r="G55">
        <v>25139</v>
      </c>
      <c r="H55">
        <v>1050</v>
      </c>
      <c r="I55">
        <v>101</v>
      </c>
      <c r="J55">
        <v>44</v>
      </c>
      <c r="K55">
        <v>178</v>
      </c>
    </row>
    <row r="56" spans="1:11" ht="14.4" x14ac:dyDescent="0.3">
      <c r="A56" t="s">
        <v>191</v>
      </c>
      <c r="B56" s="23">
        <v>46086.666666666701</v>
      </c>
      <c r="C56" t="s">
        <v>79</v>
      </c>
      <c r="D56" t="s">
        <v>75</v>
      </c>
      <c r="E56" t="s">
        <v>91</v>
      </c>
      <c r="F56" t="s">
        <v>192</v>
      </c>
      <c r="G56">
        <v>8049</v>
      </c>
      <c r="H56">
        <v>669</v>
      </c>
      <c r="I56">
        <v>30</v>
      </c>
      <c r="J56">
        <v>51</v>
      </c>
      <c r="K56">
        <v>70</v>
      </c>
    </row>
    <row r="57" spans="1:11" ht="14.4" x14ac:dyDescent="0.3">
      <c r="A57" t="s">
        <v>193</v>
      </c>
      <c r="B57" s="23">
        <v>45891.375</v>
      </c>
      <c r="C57" t="s">
        <v>74</v>
      </c>
      <c r="D57" t="s">
        <v>75</v>
      </c>
      <c r="E57" t="s">
        <v>88</v>
      </c>
      <c r="F57" t="s">
        <v>152</v>
      </c>
      <c r="G57">
        <v>13062</v>
      </c>
      <c r="H57">
        <v>794</v>
      </c>
      <c r="I57">
        <v>34</v>
      </c>
      <c r="J57">
        <v>19</v>
      </c>
      <c r="K57">
        <v>105</v>
      </c>
    </row>
    <row r="58" spans="1:11" ht="14.4" x14ac:dyDescent="0.3">
      <c r="A58" t="s">
        <v>194</v>
      </c>
      <c r="B58" s="23">
        <v>45830.083333333299</v>
      </c>
      <c r="C58" t="s">
        <v>74</v>
      </c>
      <c r="D58" t="s">
        <v>85</v>
      </c>
      <c r="E58" t="s">
        <v>131</v>
      </c>
      <c r="F58" t="s">
        <v>195</v>
      </c>
      <c r="G58">
        <v>15170</v>
      </c>
      <c r="H58">
        <v>1311</v>
      </c>
      <c r="I58">
        <v>55</v>
      </c>
      <c r="J58">
        <v>195</v>
      </c>
      <c r="K58">
        <v>125</v>
      </c>
    </row>
    <row r="59" spans="1:11" ht="14.4" x14ac:dyDescent="0.3">
      <c r="A59" t="s">
        <v>196</v>
      </c>
      <c r="B59" s="23">
        <v>46059.875</v>
      </c>
      <c r="C59" t="s">
        <v>100</v>
      </c>
      <c r="D59" t="s">
        <v>75</v>
      </c>
      <c r="E59" t="s">
        <v>115</v>
      </c>
      <c r="F59" t="s">
        <v>197</v>
      </c>
      <c r="G59">
        <v>19635</v>
      </c>
      <c r="H59">
        <v>1750</v>
      </c>
      <c r="I59">
        <v>127</v>
      </c>
      <c r="J59">
        <v>54</v>
      </c>
      <c r="K59">
        <v>90</v>
      </c>
    </row>
    <row r="60" spans="1:11" ht="14.4" x14ac:dyDescent="0.3">
      <c r="A60" t="s">
        <v>198</v>
      </c>
      <c r="B60" s="23">
        <v>45785.875</v>
      </c>
      <c r="C60" t="s">
        <v>74</v>
      </c>
      <c r="D60" t="s">
        <v>97</v>
      </c>
      <c r="E60" t="s">
        <v>76</v>
      </c>
      <c r="F60" t="s">
        <v>199</v>
      </c>
      <c r="G60">
        <v>2192</v>
      </c>
      <c r="H60">
        <v>183</v>
      </c>
      <c r="I60">
        <v>3</v>
      </c>
      <c r="J60">
        <v>8</v>
      </c>
      <c r="K60">
        <v>10</v>
      </c>
    </row>
    <row r="61" spans="1:11" ht="14.4" x14ac:dyDescent="0.3">
      <c r="A61" t="s">
        <v>200</v>
      </c>
      <c r="B61" s="23">
        <v>45848.291666666701</v>
      </c>
      <c r="C61" t="s">
        <v>74</v>
      </c>
      <c r="D61" t="s">
        <v>80</v>
      </c>
      <c r="E61" t="s">
        <v>111</v>
      </c>
      <c r="F61" t="s">
        <v>201</v>
      </c>
      <c r="G61">
        <v>47748</v>
      </c>
      <c r="H61">
        <v>2699</v>
      </c>
      <c r="I61">
        <v>205</v>
      </c>
      <c r="J61">
        <v>264</v>
      </c>
      <c r="K61">
        <v>353</v>
      </c>
    </row>
    <row r="62" spans="1:11" ht="14.4" x14ac:dyDescent="0.3">
      <c r="A62" t="s">
        <v>202</v>
      </c>
      <c r="B62" s="23">
        <v>45963.333333333299</v>
      </c>
      <c r="C62" t="s">
        <v>74</v>
      </c>
      <c r="D62" t="s">
        <v>128</v>
      </c>
      <c r="E62" t="s">
        <v>111</v>
      </c>
      <c r="F62" t="s">
        <v>92</v>
      </c>
      <c r="G62">
        <v>15082</v>
      </c>
      <c r="H62">
        <v>1217</v>
      </c>
      <c r="I62">
        <v>35</v>
      </c>
      <c r="J62">
        <v>44</v>
      </c>
      <c r="K62">
        <v>36</v>
      </c>
    </row>
    <row r="63" spans="1:11" ht="14.4" x14ac:dyDescent="0.3">
      <c r="A63" t="s">
        <v>203</v>
      </c>
      <c r="B63" s="23">
        <v>45791</v>
      </c>
      <c r="C63" t="s">
        <v>74</v>
      </c>
      <c r="D63" t="s">
        <v>80</v>
      </c>
      <c r="E63" t="s">
        <v>115</v>
      </c>
      <c r="F63" t="s">
        <v>204</v>
      </c>
      <c r="G63">
        <v>30642</v>
      </c>
      <c r="H63">
        <v>2631</v>
      </c>
      <c r="I63">
        <v>87</v>
      </c>
      <c r="J63">
        <v>119</v>
      </c>
      <c r="K63">
        <v>167</v>
      </c>
    </row>
    <row r="64" spans="1:11" ht="14.4" x14ac:dyDescent="0.3">
      <c r="A64" t="s">
        <v>205</v>
      </c>
      <c r="B64" s="23">
        <v>45982.458333333299</v>
      </c>
      <c r="C64" t="s">
        <v>74</v>
      </c>
      <c r="D64" t="s">
        <v>85</v>
      </c>
      <c r="E64" t="s">
        <v>131</v>
      </c>
      <c r="F64" t="s">
        <v>103</v>
      </c>
      <c r="G64">
        <v>27119</v>
      </c>
      <c r="H64">
        <v>2265</v>
      </c>
      <c r="I64">
        <v>111</v>
      </c>
      <c r="J64">
        <v>257</v>
      </c>
      <c r="K64">
        <v>52</v>
      </c>
    </row>
    <row r="65" spans="1:11" ht="14.4" x14ac:dyDescent="0.3">
      <c r="A65" t="s">
        <v>206</v>
      </c>
      <c r="B65" s="23">
        <v>45929.166666666701</v>
      </c>
      <c r="C65" t="s">
        <v>84</v>
      </c>
      <c r="D65" t="s">
        <v>97</v>
      </c>
      <c r="E65" t="s">
        <v>94</v>
      </c>
      <c r="F65" t="s">
        <v>77</v>
      </c>
      <c r="G65">
        <v>5082</v>
      </c>
      <c r="H65">
        <v>206</v>
      </c>
      <c r="I65">
        <v>8</v>
      </c>
      <c r="J65">
        <v>18</v>
      </c>
      <c r="K65">
        <v>30</v>
      </c>
    </row>
    <row r="66" spans="1:11" ht="14.4" x14ac:dyDescent="0.3">
      <c r="A66" t="s">
        <v>207</v>
      </c>
      <c r="B66" s="23">
        <v>46039.166666666701</v>
      </c>
      <c r="C66" t="s">
        <v>74</v>
      </c>
      <c r="D66" t="s">
        <v>80</v>
      </c>
      <c r="E66" t="s">
        <v>76</v>
      </c>
      <c r="F66" t="s">
        <v>208</v>
      </c>
      <c r="G66">
        <v>18233</v>
      </c>
      <c r="H66">
        <v>1537</v>
      </c>
      <c r="I66">
        <v>94</v>
      </c>
      <c r="J66">
        <v>91</v>
      </c>
      <c r="K66">
        <v>45</v>
      </c>
    </row>
    <row r="67" spans="1:11" ht="14.4" x14ac:dyDescent="0.3">
      <c r="A67" t="s">
        <v>209</v>
      </c>
      <c r="B67" s="23">
        <v>45842.958333333299</v>
      </c>
      <c r="C67" t="s">
        <v>74</v>
      </c>
      <c r="D67" t="s">
        <v>75</v>
      </c>
      <c r="E67" t="s">
        <v>88</v>
      </c>
      <c r="F67" t="s">
        <v>146</v>
      </c>
      <c r="G67">
        <v>9109</v>
      </c>
      <c r="H67">
        <v>518</v>
      </c>
      <c r="I67">
        <v>33</v>
      </c>
      <c r="J67">
        <v>22</v>
      </c>
      <c r="K67">
        <v>43</v>
      </c>
    </row>
    <row r="68" spans="1:11" ht="14.4" x14ac:dyDescent="0.3">
      <c r="A68" t="s">
        <v>210</v>
      </c>
      <c r="B68" s="23">
        <v>45915.25</v>
      </c>
      <c r="C68" t="s">
        <v>74</v>
      </c>
      <c r="D68" t="s">
        <v>85</v>
      </c>
      <c r="E68" t="s">
        <v>94</v>
      </c>
      <c r="F68" t="s">
        <v>211</v>
      </c>
      <c r="G68">
        <v>19381</v>
      </c>
      <c r="H68">
        <v>1682</v>
      </c>
      <c r="I68">
        <v>70</v>
      </c>
      <c r="J68">
        <v>109</v>
      </c>
      <c r="K68">
        <v>166</v>
      </c>
    </row>
    <row r="69" spans="1:11" ht="14.4" x14ac:dyDescent="0.3">
      <c r="A69" t="s">
        <v>212</v>
      </c>
      <c r="B69" s="23">
        <v>46018.958333333299</v>
      </c>
      <c r="C69" t="s">
        <v>74</v>
      </c>
      <c r="D69" t="s">
        <v>80</v>
      </c>
      <c r="E69" t="s">
        <v>81</v>
      </c>
      <c r="F69" t="s">
        <v>213</v>
      </c>
      <c r="G69">
        <v>30424</v>
      </c>
      <c r="H69">
        <v>2133</v>
      </c>
      <c r="I69">
        <v>77</v>
      </c>
      <c r="J69">
        <v>194</v>
      </c>
      <c r="K69">
        <v>81</v>
      </c>
    </row>
    <row r="70" spans="1:11" ht="14.4" x14ac:dyDescent="0.3">
      <c r="A70" t="s">
        <v>214</v>
      </c>
      <c r="B70" s="23">
        <v>46019.291666666701</v>
      </c>
      <c r="C70" t="s">
        <v>100</v>
      </c>
      <c r="D70" t="s">
        <v>80</v>
      </c>
      <c r="E70" t="s">
        <v>111</v>
      </c>
      <c r="F70" t="s">
        <v>215</v>
      </c>
      <c r="G70">
        <v>19540</v>
      </c>
      <c r="H70">
        <v>1460</v>
      </c>
      <c r="I70">
        <v>45</v>
      </c>
      <c r="J70">
        <v>166</v>
      </c>
      <c r="K70">
        <v>166</v>
      </c>
    </row>
    <row r="71" spans="1:11" ht="14.4" x14ac:dyDescent="0.3">
      <c r="A71" t="s">
        <v>216</v>
      </c>
      <c r="B71" s="23">
        <v>46035.625</v>
      </c>
      <c r="C71" t="s">
        <v>74</v>
      </c>
      <c r="D71" t="s">
        <v>75</v>
      </c>
      <c r="E71" t="s">
        <v>94</v>
      </c>
      <c r="F71" t="s">
        <v>217</v>
      </c>
      <c r="G71">
        <v>17249</v>
      </c>
      <c r="H71">
        <v>1045</v>
      </c>
      <c r="I71">
        <v>83</v>
      </c>
      <c r="J71">
        <v>43</v>
      </c>
      <c r="K71">
        <v>52</v>
      </c>
    </row>
    <row r="72" spans="1:11" ht="14.4" x14ac:dyDescent="0.3">
      <c r="A72" t="s">
        <v>218</v>
      </c>
      <c r="B72" s="23">
        <v>45906.541666666701</v>
      </c>
      <c r="C72" t="s">
        <v>74</v>
      </c>
      <c r="D72" t="s">
        <v>75</v>
      </c>
      <c r="E72" t="s">
        <v>94</v>
      </c>
      <c r="F72" t="s">
        <v>219</v>
      </c>
      <c r="G72">
        <v>14175</v>
      </c>
      <c r="H72">
        <v>790</v>
      </c>
      <c r="I72">
        <v>72</v>
      </c>
      <c r="J72">
        <v>49</v>
      </c>
      <c r="K72">
        <v>122</v>
      </c>
    </row>
    <row r="73" spans="1:11" ht="14.4" x14ac:dyDescent="0.3">
      <c r="A73" t="s">
        <v>220</v>
      </c>
      <c r="B73" s="23">
        <v>45848.625</v>
      </c>
      <c r="C73" t="s">
        <v>79</v>
      </c>
      <c r="D73" t="s">
        <v>85</v>
      </c>
      <c r="E73" t="s">
        <v>94</v>
      </c>
      <c r="F73" t="s">
        <v>221</v>
      </c>
      <c r="G73">
        <v>16648</v>
      </c>
      <c r="H73">
        <v>769</v>
      </c>
      <c r="I73">
        <v>28</v>
      </c>
      <c r="J73">
        <v>73</v>
      </c>
      <c r="K73">
        <v>141</v>
      </c>
    </row>
    <row r="74" spans="1:11" ht="14.4" x14ac:dyDescent="0.3">
      <c r="A74" t="s">
        <v>222</v>
      </c>
      <c r="B74" s="23">
        <v>45911.25</v>
      </c>
      <c r="C74" t="s">
        <v>79</v>
      </c>
      <c r="D74" t="s">
        <v>85</v>
      </c>
      <c r="E74" t="s">
        <v>131</v>
      </c>
      <c r="F74" t="s">
        <v>223</v>
      </c>
      <c r="G74">
        <v>12106</v>
      </c>
      <c r="H74">
        <v>1000</v>
      </c>
      <c r="I74">
        <v>75</v>
      </c>
      <c r="J74">
        <v>66</v>
      </c>
      <c r="K74">
        <v>79</v>
      </c>
    </row>
    <row r="75" spans="1:11" ht="14.4" x14ac:dyDescent="0.3">
      <c r="A75" t="s">
        <v>224</v>
      </c>
      <c r="B75" s="23">
        <v>45825.291666666701</v>
      </c>
      <c r="C75" t="s">
        <v>74</v>
      </c>
      <c r="D75" t="s">
        <v>85</v>
      </c>
      <c r="E75" t="s">
        <v>94</v>
      </c>
      <c r="F75" t="s">
        <v>225</v>
      </c>
      <c r="G75">
        <v>8048</v>
      </c>
      <c r="H75">
        <v>578</v>
      </c>
      <c r="I75">
        <v>50</v>
      </c>
      <c r="J75">
        <v>58</v>
      </c>
      <c r="K75">
        <v>74</v>
      </c>
    </row>
    <row r="76" spans="1:11" ht="14.4" x14ac:dyDescent="0.3">
      <c r="A76" t="s">
        <v>226</v>
      </c>
      <c r="B76" s="23">
        <v>45818.166666666701</v>
      </c>
      <c r="C76" t="s">
        <v>74</v>
      </c>
      <c r="D76" t="s">
        <v>85</v>
      </c>
      <c r="E76" t="s">
        <v>76</v>
      </c>
      <c r="F76" t="s">
        <v>227</v>
      </c>
      <c r="G76">
        <v>17328</v>
      </c>
      <c r="H76">
        <v>1019</v>
      </c>
      <c r="I76">
        <v>77</v>
      </c>
      <c r="J76">
        <v>52</v>
      </c>
      <c r="K76">
        <v>100</v>
      </c>
    </row>
    <row r="77" spans="1:11" ht="14.4" x14ac:dyDescent="0.3">
      <c r="A77" t="s">
        <v>228</v>
      </c>
      <c r="B77" s="23">
        <v>45890.333333333299</v>
      </c>
      <c r="C77" t="s">
        <v>100</v>
      </c>
      <c r="D77" t="s">
        <v>128</v>
      </c>
      <c r="E77" t="s">
        <v>115</v>
      </c>
      <c r="F77" t="s">
        <v>229</v>
      </c>
      <c r="G77">
        <v>5041</v>
      </c>
      <c r="H77">
        <v>345</v>
      </c>
      <c r="I77">
        <v>9</v>
      </c>
      <c r="J77">
        <v>36</v>
      </c>
      <c r="K77">
        <v>45</v>
      </c>
    </row>
    <row r="78" spans="1:11" ht="14.4" x14ac:dyDescent="0.3">
      <c r="A78" t="s">
        <v>230</v>
      </c>
      <c r="B78" s="23">
        <v>45989.916666666701</v>
      </c>
      <c r="C78" t="s">
        <v>79</v>
      </c>
      <c r="D78" t="s">
        <v>85</v>
      </c>
      <c r="E78" t="s">
        <v>115</v>
      </c>
      <c r="F78" t="s">
        <v>231</v>
      </c>
      <c r="G78">
        <v>3927</v>
      </c>
      <c r="H78">
        <v>157</v>
      </c>
      <c r="I78">
        <v>10</v>
      </c>
      <c r="J78">
        <v>7</v>
      </c>
      <c r="K78">
        <v>38</v>
      </c>
    </row>
    <row r="79" spans="1:11" ht="14.4" x14ac:dyDescent="0.3">
      <c r="A79" t="s">
        <v>232</v>
      </c>
      <c r="B79" s="23">
        <v>45922.583333333299</v>
      </c>
      <c r="C79" t="s">
        <v>100</v>
      </c>
      <c r="D79" t="s">
        <v>128</v>
      </c>
      <c r="E79" t="s">
        <v>91</v>
      </c>
      <c r="F79" t="s">
        <v>233</v>
      </c>
      <c r="G79">
        <v>6044</v>
      </c>
      <c r="H79">
        <v>352</v>
      </c>
      <c r="I79">
        <v>28</v>
      </c>
      <c r="J79">
        <v>20</v>
      </c>
      <c r="K79">
        <v>16</v>
      </c>
    </row>
    <row r="80" spans="1:11" ht="14.4" x14ac:dyDescent="0.3">
      <c r="A80" t="s">
        <v>234</v>
      </c>
      <c r="B80" s="23">
        <v>45941.625</v>
      </c>
      <c r="C80" t="s">
        <v>74</v>
      </c>
      <c r="D80" t="s">
        <v>97</v>
      </c>
      <c r="E80" t="s">
        <v>76</v>
      </c>
      <c r="F80" t="s">
        <v>235</v>
      </c>
      <c r="G80">
        <v>2637</v>
      </c>
      <c r="H80">
        <v>120</v>
      </c>
      <c r="I80">
        <v>6</v>
      </c>
      <c r="J80">
        <v>12</v>
      </c>
      <c r="K80">
        <v>19</v>
      </c>
    </row>
    <row r="81" spans="1:11" ht="14.4" x14ac:dyDescent="0.3">
      <c r="A81" t="s">
        <v>236</v>
      </c>
      <c r="B81" s="23">
        <v>45969.875</v>
      </c>
      <c r="C81" t="s">
        <v>100</v>
      </c>
      <c r="D81" t="s">
        <v>80</v>
      </c>
      <c r="E81" t="s">
        <v>88</v>
      </c>
      <c r="F81" t="s">
        <v>237</v>
      </c>
      <c r="G81">
        <v>18524</v>
      </c>
      <c r="H81">
        <v>1391</v>
      </c>
      <c r="I81">
        <v>63</v>
      </c>
      <c r="J81">
        <v>152</v>
      </c>
      <c r="K81">
        <v>28</v>
      </c>
    </row>
    <row r="82" spans="1:11" ht="14.4" x14ac:dyDescent="0.3">
      <c r="A82" t="s">
        <v>238</v>
      </c>
      <c r="B82" s="23">
        <v>45807.625</v>
      </c>
      <c r="C82" t="s">
        <v>74</v>
      </c>
      <c r="D82" t="s">
        <v>75</v>
      </c>
      <c r="E82" t="s">
        <v>111</v>
      </c>
      <c r="F82" t="s">
        <v>239</v>
      </c>
      <c r="G82">
        <v>32770</v>
      </c>
      <c r="H82">
        <v>1820</v>
      </c>
      <c r="I82">
        <v>172</v>
      </c>
      <c r="J82">
        <v>69</v>
      </c>
      <c r="K82">
        <v>215</v>
      </c>
    </row>
    <row r="83" spans="1:11" ht="14.4" x14ac:dyDescent="0.3">
      <c r="A83" t="s">
        <v>240</v>
      </c>
      <c r="B83" s="23">
        <v>45971.625</v>
      </c>
      <c r="C83" t="s">
        <v>74</v>
      </c>
      <c r="D83" t="s">
        <v>80</v>
      </c>
      <c r="E83" t="s">
        <v>115</v>
      </c>
      <c r="F83" t="s">
        <v>241</v>
      </c>
      <c r="G83">
        <v>12139</v>
      </c>
      <c r="H83">
        <v>618</v>
      </c>
      <c r="I83">
        <v>13</v>
      </c>
      <c r="J83">
        <v>41</v>
      </c>
      <c r="K83">
        <v>43</v>
      </c>
    </row>
    <row r="84" spans="1:11" ht="14.4" x14ac:dyDescent="0.3">
      <c r="A84" t="s">
        <v>242</v>
      </c>
      <c r="B84" s="23">
        <v>45749.875</v>
      </c>
      <c r="C84" t="s">
        <v>74</v>
      </c>
      <c r="D84" t="s">
        <v>80</v>
      </c>
      <c r="E84" t="s">
        <v>76</v>
      </c>
      <c r="F84" t="s">
        <v>243</v>
      </c>
      <c r="G84">
        <v>31645</v>
      </c>
      <c r="H84">
        <v>1521</v>
      </c>
      <c r="I84">
        <v>79</v>
      </c>
      <c r="J84">
        <v>52</v>
      </c>
      <c r="K84">
        <v>104</v>
      </c>
    </row>
    <row r="85" spans="1:11" ht="14.4" x14ac:dyDescent="0.3">
      <c r="A85" t="s">
        <v>244</v>
      </c>
      <c r="B85" s="23">
        <v>45808.041666666701</v>
      </c>
      <c r="C85" t="s">
        <v>74</v>
      </c>
      <c r="D85" t="s">
        <v>80</v>
      </c>
      <c r="E85" t="s">
        <v>91</v>
      </c>
      <c r="F85" t="s">
        <v>134</v>
      </c>
      <c r="G85">
        <v>9757</v>
      </c>
      <c r="H85">
        <v>447</v>
      </c>
      <c r="I85">
        <v>38</v>
      </c>
      <c r="J85">
        <v>10</v>
      </c>
      <c r="K85">
        <v>87</v>
      </c>
    </row>
    <row r="86" spans="1:11" ht="14.4" x14ac:dyDescent="0.3">
      <c r="A86" t="s">
        <v>245</v>
      </c>
      <c r="B86" s="23">
        <v>46069.75</v>
      </c>
      <c r="C86" t="s">
        <v>74</v>
      </c>
      <c r="D86" t="s">
        <v>75</v>
      </c>
      <c r="E86" t="s">
        <v>111</v>
      </c>
      <c r="F86" t="s">
        <v>246</v>
      </c>
      <c r="G86">
        <v>31148</v>
      </c>
      <c r="H86">
        <v>1373</v>
      </c>
      <c r="I86">
        <v>122</v>
      </c>
      <c r="J86">
        <v>26</v>
      </c>
      <c r="K86">
        <v>133</v>
      </c>
    </row>
    <row r="87" spans="1:11" ht="14.4" x14ac:dyDescent="0.3">
      <c r="A87" t="s">
        <v>247</v>
      </c>
      <c r="B87" s="23">
        <v>45963.25</v>
      </c>
      <c r="C87" t="s">
        <v>84</v>
      </c>
      <c r="D87" t="s">
        <v>80</v>
      </c>
      <c r="E87" t="s">
        <v>115</v>
      </c>
      <c r="F87" t="s">
        <v>98</v>
      </c>
      <c r="G87">
        <v>21810</v>
      </c>
      <c r="H87">
        <v>1209</v>
      </c>
      <c r="I87">
        <v>51</v>
      </c>
      <c r="J87">
        <v>45</v>
      </c>
      <c r="K87">
        <v>133</v>
      </c>
    </row>
    <row r="88" spans="1:11" ht="14.4" x14ac:dyDescent="0.3">
      <c r="A88" t="s">
        <v>248</v>
      </c>
      <c r="B88" s="23">
        <v>46000.583333333299</v>
      </c>
      <c r="C88" t="s">
        <v>74</v>
      </c>
      <c r="D88" t="s">
        <v>75</v>
      </c>
      <c r="E88" t="s">
        <v>111</v>
      </c>
      <c r="F88" t="s">
        <v>249</v>
      </c>
      <c r="G88">
        <v>14523</v>
      </c>
      <c r="H88">
        <v>1158</v>
      </c>
      <c r="I88">
        <v>114</v>
      </c>
      <c r="J88">
        <v>148</v>
      </c>
      <c r="K88">
        <v>51</v>
      </c>
    </row>
    <row r="89" spans="1:11" ht="14.4" x14ac:dyDescent="0.3">
      <c r="A89" t="s">
        <v>250</v>
      </c>
      <c r="B89" s="23">
        <v>45795.083333333299</v>
      </c>
      <c r="C89" t="s">
        <v>79</v>
      </c>
      <c r="D89" t="s">
        <v>85</v>
      </c>
      <c r="E89" t="s">
        <v>81</v>
      </c>
      <c r="F89" t="s">
        <v>251</v>
      </c>
      <c r="G89">
        <v>10086</v>
      </c>
      <c r="H89">
        <v>713</v>
      </c>
      <c r="I89">
        <v>59</v>
      </c>
      <c r="J89">
        <v>86</v>
      </c>
      <c r="K89">
        <v>61</v>
      </c>
    </row>
    <row r="90" spans="1:11" ht="14.4" x14ac:dyDescent="0.3">
      <c r="A90" t="s">
        <v>252</v>
      </c>
      <c r="B90" s="23">
        <v>45978.041666666701</v>
      </c>
      <c r="C90" t="s">
        <v>79</v>
      </c>
      <c r="D90" t="s">
        <v>128</v>
      </c>
      <c r="E90" t="s">
        <v>91</v>
      </c>
      <c r="F90" t="s">
        <v>253</v>
      </c>
      <c r="G90">
        <v>7828</v>
      </c>
      <c r="H90">
        <v>328</v>
      </c>
      <c r="I90">
        <v>17</v>
      </c>
      <c r="J90">
        <v>36</v>
      </c>
      <c r="K90">
        <v>8</v>
      </c>
    </row>
    <row r="91" spans="1:11" ht="14.4" x14ac:dyDescent="0.3">
      <c r="A91" t="s">
        <v>254</v>
      </c>
      <c r="B91" s="23">
        <v>45903.458333333299</v>
      </c>
      <c r="C91" t="s">
        <v>79</v>
      </c>
      <c r="D91" t="s">
        <v>80</v>
      </c>
      <c r="E91" t="s">
        <v>111</v>
      </c>
      <c r="F91" t="s">
        <v>124</v>
      </c>
      <c r="G91">
        <v>36064</v>
      </c>
      <c r="H91">
        <v>2988</v>
      </c>
      <c r="I91">
        <v>135</v>
      </c>
      <c r="J91">
        <v>131</v>
      </c>
      <c r="K91">
        <v>350</v>
      </c>
    </row>
    <row r="92" spans="1:11" ht="14.4" x14ac:dyDescent="0.3">
      <c r="A92" t="s">
        <v>255</v>
      </c>
      <c r="B92" s="23">
        <v>46061.333333333299</v>
      </c>
      <c r="C92" t="s">
        <v>74</v>
      </c>
      <c r="D92" t="s">
        <v>75</v>
      </c>
      <c r="E92" t="s">
        <v>76</v>
      </c>
      <c r="F92" t="s">
        <v>256</v>
      </c>
      <c r="G92">
        <v>16356</v>
      </c>
      <c r="H92">
        <v>1361</v>
      </c>
      <c r="I92">
        <v>35</v>
      </c>
      <c r="J92">
        <v>40</v>
      </c>
      <c r="K92">
        <v>119</v>
      </c>
    </row>
    <row r="93" spans="1:11" ht="14.4" x14ac:dyDescent="0.3">
      <c r="A93" t="s">
        <v>257</v>
      </c>
      <c r="B93" s="23">
        <v>45968.75</v>
      </c>
      <c r="C93" t="s">
        <v>100</v>
      </c>
      <c r="D93" t="s">
        <v>85</v>
      </c>
      <c r="E93" t="s">
        <v>76</v>
      </c>
      <c r="F93" t="s">
        <v>170</v>
      </c>
      <c r="G93">
        <v>10275</v>
      </c>
      <c r="H93">
        <v>378</v>
      </c>
      <c r="I93">
        <v>8</v>
      </c>
      <c r="J93">
        <v>42</v>
      </c>
      <c r="K93">
        <v>57</v>
      </c>
    </row>
    <row r="94" spans="1:11" ht="14.4" x14ac:dyDescent="0.3">
      <c r="A94" t="s">
        <v>258</v>
      </c>
      <c r="B94" s="23">
        <v>46024.416666666701</v>
      </c>
      <c r="C94" t="s">
        <v>74</v>
      </c>
      <c r="D94" t="s">
        <v>80</v>
      </c>
      <c r="E94" t="s">
        <v>94</v>
      </c>
      <c r="F94" t="s">
        <v>259</v>
      </c>
      <c r="G94">
        <v>26506</v>
      </c>
      <c r="H94">
        <v>1374</v>
      </c>
      <c r="I94">
        <v>64</v>
      </c>
      <c r="J94">
        <v>149</v>
      </c>
      <c r="K94">
        <v>234</v>
      </c>
    </row>
    <row r="95" spans="1:11" ht="14.4" x14ac:dyDescent="0.3">
      <c r="A95" t="s">
        <v>260</v>
      </c>
      <c r="B95" s="23">
        <v>46047.708333333299</v>
      </c>
      <c r="C95" t="s">
        <v>74</v>
      </c>
      <c r="D95" t="s">
        <v>85</v>
      </c>
      <c r="E95" t="s">
        <v>81</v>
      </c>
      <c r="F95" t="s">
        <v>261</v>
      </c>
      <c r="G95">
        <v>11028</v>
      </c>
      <c r="H95">
        <v>978</v>
      </c>
      <c r="I95">
        <v>76</v>
      </c>
      <c r="J95">
        <v>109</v>
      </c>
      <c r="K95">
        <v>13</v>
      </c>
    </row>
    <row r="96" spans="1:11" ht="14.4" x14ac:dyDescent="0.3">
      <c r="A96" t="s">
        <v>262</v>
      </c>
      <c r="B96" s="23">
        <v>45844.166666666701</v>
      </c>
      <c r="C96" t="s">
        <v>100</v>
      </c>
      <c r="D96" t="s">
        <v>75</v>
      </c>
      <c r="E96" t="s">
        <v>94</v>
      </c>
      <c r="F96" t="s">
        <v>263</v>
      </c>
      <c r="G96">
        <v>10531</v>
      </c>
      <c r="H96">
        <v>798</v>
      </c>
      <c r="I96">
        <v>24</v>
      </c>
      <c r="J96">
        <v>66</v>
      </c>
      <c r="K96">
        <v>26</v>
      </c>
    </row>
    <row r="97" spans="1:11" ht="14.4" x14ac:dyDescent="0.3">
      <c r="A97" t="s">
        <v>264</v>
      </c>
      <c r="B97" s="23">
        <v>45807.583333333299</v>
      </c>
      <c r="C97" t="s">
        <v>79</v>
      </c>
      <c r="D97" t="s">
        <v>97</v>
      </c>
      <c r="E97" t="s">
        <v>131</v>
      </c>
      <c r="F97" t="s">
        <v>217</v>
      </c>
      <c r="G97">
        <v>7684</v>
      </c>
      <c r="H97">
        <v>443</v>
      </c>
      <c r="I97">
        <v>29</v>
      </c>
      <c r="J97">
        <v>29</v>
      </c>
      <c r="K97">
        <v>31</v>
      </c>
    </row>
    <row r="98" spans="1:11" ht="14.4" x14ac:dyDescent="0.3">
      <c r="A98" t="s">
        <v>265</v>
      </c>
      <c r="B98" s="23">
        <v>45777.291666666701</v>
      </c>
      <c r="C98" t="s">
        <v>84</v>
      </c>
      <c r="D98" t="s">
        <v>80</v>
      </c>
      <c r="E98" t="s">
        <v>81</v>
      </c>
      <c r="F98" t="s">
        <v>266</v>
      </c>
      <c r="G98">
        <v>7944</v>
      </c>
      <c r="H98">
        <v>498</v>
      </c>
      <c r="I98">
        <v>41</v>
      </c>
      <c r="J98">
        <v>33</v>
      </c>
      <c r="K98">
        <v>42</v>
      </c>
    </row>
    <row r="99" spans="1:11" ht="14.4" x14ac:dyDescent="0.3">
      <c r="A99" t="s">
        <v>267</v>
      </c>
      <c r="B99" s="23">
        <v>46098.5</v>
      </c>
      <c r="C99" t="s">
        <v>79</v>
      </c>
      <c r="D99" t="s">
        <v>128</v>
      </c>
      <c r="E99" t="s">
        <v>94</v>
      </c>
      <c r="F99" t="s">
        <v>178</v>
      </c>
      <c r="G99">
        <v>8950</v>
      </c>
      <c r="H99">
        <v>399</v>
      </c>
      <c r="I99">
        <v>14</v>
      </c>
      <c r="J99">
        <v>12</v>
      </c>
      <c r="K99">
        <v>17</v>
      </c>
    </row>
    <row r="100" spans="1:11" ht="14.4" x14ac:dyDescent="0.3">
      <c r="A100" t="s">
        <v>268</v>
      </c>
      <c r="B100" s="23">
        <v>45804.5</v>
      </c>
      <c r="C100" t="s">
        <v>79</v>
      </c>
      <c r="D100" t="s">
        <v>75</v>
      </c>
      <c r="E100" t="s">
        <v>91</v>
      </c>
      <c r="F100" t="s">
        <v>269</v>
      </c>
      <c r="G100">
        <v>20703</v>
      </c>
      <c r="H100">
        <v>1401</v>
      </c>
      <c r="I100">
        <v>135</v>
      </c>
      <c r="J100">
        <v>115</v>
      </c>
      <c r="K100">
        <v>78</v>
      </c>
    </row>
    <row r="101" spans="1:11" ht="14.4" x14ac:dyDescent="0.3">
      <c r="A101" t="s">
        <v>270</v>
      </c>
      <c r="B101" s="23">
        <v>45765.25</v>
      </c>
      <c r="C101" t="s">
        <v>74</v>
      </c>
      <c r="D101" t="s">
        <v>97</v>
      </c>
      <c r="E101" t="s">
        <v>115</v>
      </c>
      <c r="F101" t="s">
        <v>243</v>
      </c>
      <c r="G101">
        <v>7713</v>
      </c>
      <c r="H101">
        <v>386</v>
      </c>
      <c r="I101">
        <v>34</v>
      </c>
      <c r="J101">
        <v>33</v>
      </c>
      <c r="K101">
        <v>28</v>
      </c>
    </row>
    <row r="102" spans="1:11" ht="14.4" x14ac:dyDescent="0.3">
      <c r="A102" t="s">
        <v>271</v>
      </c>
      <c r="B102" s="23">
        <v>45866.208333333299</v>
      </c>
      <c r="C102" t="s">
        <v>74</v>
      </c>
      <c r="D102" t="s">
        <v>80</v>
      </c>
      <c r="E102" t="s">
        <v>81</v>
      </c>
      <c r="F102" t="s">
        <v>272</v>
      </c>
      <c r="G102">
        <v>9251</v>
      </c>
      <c r="H102">
        <v>423</v>
      </c>
      <c r="I102">
        <v>25</v>
      </c>
      <c r="J102">
        <v>20</v>
      </c>
      <c r="K102">
        <v>41</v>
      </c>
    </row>
    <row r="103" spans="1:11" ht="14.4" x14ac:dyDescent="0.3">
      <c r="A103" t="s">
        <v>273</v>
      </c>
      <c r="B103" s="23">
        <v>45919.208333333299</v>
      </c>
      <c r="C103" t="s">
        <v>79</v>
      </c>
      <c r="D103" t="s">
        <v>75</v>
      </c>
      <c r="E103" t="s">
        <v>94</v>
      </c>
      <c r="F103" t="s">
        <v>274</v>
      </c>
      <c r="G103">
        <v>11535</v>
      </c>
      <c r="H103">
        <v>680</v>
      </c>
      <c r="I103">
        <v>43</v>
      </c>
      <c r="J103">
        <v>39</v>
      </c>
      <c r="K103">
        <v>54</v>
      </c>
    </row>
    <row r="104" spans="1:11" ht="14.4" x14ac:dyDescent="0.3">
      <c r="A104" t="s">
        <v>275</v>
      </c>
      <c r="B104" s="23">
        <v>46058.416666666701</v>
      </c>
      <c r="C104" t="s">
        <v>84</v>
      </c>
      <c r="D104" t="s">
        <v>80</v>
      </c>
      <c r="E104" t="s">
        <v>81</v>
      </c>
      <c r="F104" t="s">
        <v>144</v>
      </c>
      <c r="G104">
        <v>21347</v>
      </c>
      <c r="H104">
        <v>1622</v>
      </c>
      <c r="I104">
        <v>41</v>
      </c>
      <c r="J104">
        <v>20</v>
      </c>
      <c r="K104">
        <v>132</v>
      </c>
    </row>
    <row r="105" spans="1:11" ht="14.4" x14ac:dyDescent="0.3">
      <c r="A105" t="s">
        <v>276</v>
      </c>
      <c r="B105" s="23">
        <v>45859.791666666701</v>
      </c>
      <c r="C105" t="s">
        <v>79</v>
      </c>
      <c r="D105" t="s">
        <v>85</v>
      </c>
      <c r="E105" t="s">
        <v>88</v>
      </c>
      <c r="F105" t="s">
        <v>277</v>
      </c>
      <c r="G105">
        <v>6126</v>
      </c>
      <c r="H105">
        <v>405</v>
      </c>
      <c r="I105">
        <v>11</v>
      </c>
      <c r="J105">
        <v>50</v>
      </c>
      <c r="K105">
        <v>30</v>
      </c>
    </row>
    <row r="106" spans="1:11" ht="14.4" x14ac:dyDescent="0.3">
      <c r="A106" t="s">
        <v>278</v>
      </c>
      <c r="B106" s="23">
        <v>45785.833333333299</v>
      </c>
      <c r="C106" t="s">
        <v>74</v>
      </c>
      <c r="D106" t="s">
        <v>85</v>
      </c>
      <c r="E106" t="s">
        <v>88</v>
      </c>
      <c r="F106" t="s">
        <v>190</v>
      </c>
      <c r="G106">
        <v>6919</v>
      </c>
      <c r="H106">
        <v>251</v>
      </c>
      <c r="I106">
        <v>21</v>
      </c>
      <c r="J106">
        <v>7</v>
      </c>
      <c r="K106">
        <v>47</v>
      </c>
    </row>
    <row r="107" spans="1:11" ht="14.4" x14ac:dyDescent="0.3">
      <c r="A107" t="s">
        <v>279</v>
      </c>
      <c r="B107" s="23">
        <v>46025.25</v>
      </c>
      <c r="C107" t="s">
        <v>100</v>
      </c>
      <c r="D107" t="s">
        <v>80</v>
      </c>
      <c r="E107" t="s">
        <v>115</v>
      </c>
      <c r="F107" t="s">
        <v>280</v>
      </c>
      <c r="G107">
        <v>16746</v>
      </c>
      <c r="H107">
        <v>1459</v>
      </c>
      <c r="I107">
        <v>36</v>
      </c>
      <c r="J107">
        <v>37</v>
      </c>
      <c r="K107">
        <v>70</v>
      </c>
    </row>
    <row r="108" spans="1:11" ht="14.4" x14ac:dyDescent="0.3">
      <c r="A108" t="s">
        <v>281</v>
      </c>
      <c r="B108" s="23">
        <v>45991.416666666701</v>
      </c>
      <c r="C108" t="s">
        <v>74</v>
      </c>
      <c r="D108" t="s">
        <v>80</v>
      </c>
      <c r="E108" t="s">
        <v>76</v>
      </c>
      <c r="F108" t="s">
        <v>282</v>
      </c>
      <c r="G108">
        <v>17952</v>
      </c>
      <c r="H108">
        <v>1533</v>
      </c>
      <c r="I108">
        <v>145</v>
      </c>
      <c r="J108">
        <v>136</v>
      </c>
      <c r="K108">
        <v>174</v>
      </c>
    </row>
    <row r="109" spans="1:11" ht="14.4" x14ac:dyDescent="0.3">
      <c r="A109" t="s">
        <v>283</v>
      </c>
      <c r="B109" s="23">
        <v>45848.916666666701</v>
      </c>
      <c r="C109" t="s">
        <v>74</v>
      </c>
      <c r="D109" t="s">
        <v>85</v>
      </c>
      <c r="E109" t="s">
        <v>111</v>
      </c>
      <c r="F109" t="s">
        <v>284</v>
      </c>
      <c r="G109">
        <v>36987</v>
      </c>
      <c r="H109">
        <v>1925</v>
      </c>
      <c r="I109">
        <v>57</v>
      </c>
      <c r="J109">
        <v>46</v>
      </c>
      <c r="K109">
        <v>367</v>
      </c>
    </row>
    <row r="110" spans="1:11" ht="14.4" x14ac:dyDescent="0.3">
      <c r="A110" t="s">
        <v>285</v>
      </c>
      <c r="B110" s="23">
        <v>46067.583333333299</v>
      </c>
      <c r="C110" t="s">
        <v>74</v>
      </c>
      <c r="D110" t="s">
        <v>75</v>
      </c>
      <c r="E110" t="s">
        <v>111</v>
      </c>
      <c r="F110" t="s">
        <v>286</v>
      </c>
      <c r="G110">
        <v>33223</v>
      </c>
      <c r="H110">
        <v>2844</v>
      </c>
      <c r="I110">
        <v>84</v>
      </c>
      <c r="J110">
        <v>338</v>
      </c>
      <c r="K110">
        <v>316</v>
      </c>
    </row>
    <row r="111" spans="1:11" ht="14.4" x14ac:dyDescent="0.3">
      <c r="A111" t="s">
        <v>287</v>
      </c>
      <c r="B111" s="23">
        <v>45998.208333333299</v>
      </c>
      <c r="C111" t="s">
        <v>100</v>
      </c>
      <c r="D111" t="s">
        <v>128</v>
      </c>
      <c r="E111" t="s">
        <v>131</v>
      </c>
      <c r="F111" t="s">
        <v>288</v>
      </c>
      <c r="G111">
        <v>9924</v>
      </c>
      <c r="H111">
        <v>307</v>
      </c>
      <c r="I111">
        <v>12</v>
      </c>
      <c r="J111">
        <v>8</v>
      </c>
      <c r="K111">
        <v>89</v>
      </c>
    </row>
    <row r="112" spans="1:11" ht="14.4" x14ac:dyDescent="0.3">
      <c r="A112" t="s">
        <v>289</v>
      </c>
      <c r="B112" s="23">
        <v>46094.416666666701</v>
      </c>
      <c r="C112" t="s">
        <v>79</v>
      </c>
      <c r="D112" t="s">
        <v>80</v>
      </c>
      <c r="E112" t="s">
        <v>111</v>
      </c>
      <c r="F112" t="s">
        <v>146</v>
      </c>
      <c r="G112">
        <v>23472</v>
      </c>
      <c r="H112">
        <v>853</v>
      </c>
      <c r="I112">
        <v>56</v>
      </c>
      <c r="J112">
        <v>81</v>
      </c>
      <c r="K112">
        <v>166</v>
      </c>
    </row>
    <row r="113" spans="1:11" ht="14.4" x14ac:dyDescent="0.3">
      <c r="A113" t="s">
        <v>290</v>
      </c>
      <c r="B113" s="23">
        <v>45865.958333333299</v>
      </c>
      <c r="C113" t="s">
        <v>74</v>
      </c>
      <c r="D113" t="s">
        <v>128</v>
      </c>
      <c r="E113" t="s">
        <v>81</v>
      </c>
      <c r="F113" t="s">
        <v>291</v>
      </c>
      <c r="G113">
        <v>2366</v>
      </c>
      <c r="H113">
        <v>72</v>
      </c>
      <c r="I113">
        <v>7</v>
      </c>
      <c r="J113">
        <v>9</v>
      </c>
      <c r="K113">
        <v>4</v>
      </c>
    </row>
    <row r="114" spans="1:11" ht="14.4" x14ac:dyDescent="0.3">
      <c r="A114" t="s">
        <v>292</v>
      </c>
      <c r="B114" s="23">
        <v>45765.416666666701</v>
      </c>
      <c r="C114" t="s">
        <v>79</v>
      </c>
      <c r="D114" t="s">
        <v>85</v>
      </c>
      <c r="E114" t="s">
        <v>111</v>
      </c>
      <c r="F114" t="s">
        <v>293</v>
      </c>
      <c r="G114">
        <v>12449</v>
      </c>
      <c r="H114">
        <v>875</v>
      </c>
      <c r="I114">
        <v>28</v>
      </c>
      <c r="J114">
        <v>119</v>
      </c>
      <c r="K114">
        <v>70</v>
      </c>
    </row>
    <row r="115" spans="1:11" ht="14.4" x14ac:dyDescent="0.3">
      <c r="A115" t="s">
        <v>294</v>
      </c>
      <c r="B115" s="23">
        <v>46071.833333333299</v>
      </c>
      <c r="C115" t="s">
        <v>84</v>
      </c>
      <c r="D115" t="s">
        <v>128</v>
      </c>
      <c r="E115" t="s">
        <v>88</v>
      </c>
      <c r="F115" t="s">
        <v>295</v>
      </c>
      <c r="G115">
        <v>4966</v>
      </c>
      <c r="H115">
        <v>190</v>
      </c>
      <c r="I115">
        <v>10</v>
      </c>
      <c r="J115">
        <v>27</v>
      </c>
      <c r="K115">
        <v>20</v>
      </c>
    </row>
    <row r="116" spans="1:11" ht="14.4" x14ac:dyDescent="0.3">
      <c r="A116" t="s">
        <v>296</v>
      </c>
      <c r="B116" s="23">
        <v>46035.458333333299</v>
      </c>
      <c r="C116" t="s">
        <v>84</v>
      </c>
      <c r="D116" t="s">
        <v>85</v>
      </c>
      <c r="E116" t="s">
        <v>131</v>
      </c>
      <c r="F116" t="s">
        <v>297</v>
      </c>
      <c r="G116">
        <v>22867</v>
      </c>
      <c r="H116">
        <v>1758</v>
      </c>
      <c r="I116">
        <v>168</v>
      </c>
      <c r="J116">
        <v>227</v>
      </c>
      <c r="K116">
        <v>59</v>
      </c>
    </row>
    <row r="117" spans="1:11" ht="14.4" x14ac:dyDescent="0.3">
      <c r="A117" t="s">
        <v>298</v>
      </c>
      <c r="B117" s="23">
        <v>46022.708333333299</v>
      </c>
      <c r="C117" t="s">
        <v>100</v>
      </c>
      <c r="D117" t="s">
        <v>85</v>
      </c>
      <c r="E117" t="s">
        <v>115</v>
      </c>
      <c r="F117" t="s">
        <v>107</v>
      </c>
      <c r="G117">
        <v>4338</v>
      </c>
      <c r="H117">
        <v>382</v>
      </c>
      <c r="I117">
        <v>37</v>
      </c>
      <c r="J117">
        <v>19</v>
      </c>
      <c r="K117">
        <v>35</v>
      </c>
    </row>
    <row r="118" spans="1:11" ht="14.4" x14ac:dyDescent="0.3">
      <c r="A118" t="s">
        <v>299</v>
      </c>
      <c r="B118" s="23">
        <v>46095.416666666701</v>
      </c>
      <c r="C118" t="s">
        <v>79</v>
      </c>
      <c r="D118" t="s">
        <v>85</v>
      </c>
      <c r="E118" t="s">
        <v>81</v>
      </c>
      <c r="F118" t="s">
        <v>178</v>
      </c>
      <c r="G118">
        <v>5388</v>
      </c>
      <c r="H118">
        <v>470</v>
      </c>
      <c r="I118">
        <v>43</v>
      </c>
      <c r="J118">
        <v>31</v>
      </c>
      <c r="K118">
        <v>14</v>
      </c>
    </row>
    <row r="119" spans="1:11" ht="14.4" x14ac:dyDescent="0.3">
      <c r="A119" t="s">
        <v>300</v>
      </c>
      <c r="B119" s="23">
        <v>45921.375</v>
      </c>
      <c r="C119" t="s">
        <v>74</v>
      </c>
      <c r="D119" t="s">
        <v>85</v>
      </c>
      <c r="E119" t="s">
        <v>91</v>
      </c>
      <c r="F119" t="s">
        <v>301</v>
      </c>
      <c r="G119">
        <v>4150</v>
      </c>
      <c r="H119">
        <v>298</v>
      </c>
      <c r="I119">
        <v>26</v>
      </c>
      <c r="J119">
        <v>41</v>
      </c>
      <c r="K119">
        <v>24</v>
      </c>
    </row>
    <row r="120" spans="1:11" ht="14.4" x14ac:dyDescent="0.3">
      <c r="A120" t="s">
        <v>302</v>
      </c>
      <c r="B120" s="23">
        <v>45752.5</v>
      </c>
      <c r="C120" t="s">
        <v>100</v>
      </c>
      <c r="D120" t="s">
        <v>85</v>
      </c>
      <c r="E120" t="s">
        <v>88</v>
      </c>
      <c r="F120" t="s">
        <v>303</v>
      </c>
      <c r="G120">
        <v>6564</v>
      </c>
      <c r="H120">
        <v>541</v>
      </c>
      <c r="I120">
        <v>50</v>
      </c>
      <c r="J120">
        <v>47</v>
      </c>
      <c r="K120">
        <v>60</v>
      </c>
    </row>
    <row r="121" spans="1:11" ht="14.4" x14ac:dyDescent="0.3">
      <c r="A121" t="s">
        <v>304</v>
      </c>
      <c r="B121" s="23">
        <v>46026.083333333299</v>
      </c>
      <c r="C121" t="s">
        <v>74</v>
      </c>
      <c r="D121" t="s">
        <v>80</v>
      </c>
      <c r="E121" t="s">
        <v>94</v>
      </c>
      <c r="F121" t="s">
        <v>305</v>
      </c>
      <c r="G121">
        <v>48333</v>
      </c>
      <c r="H121">
        <v>2314</v>
      </c>
      <c r="I121">
        <v>159</v>
      </c>
      <c r="J121">
        <v>222</v>
      </c>
      <c r="K121">
        <v>273</v>
      </c>
    </row>
    <row r="122" spans="1:11" ht="14.4" x14ac:dyDescent="0.3">
      <c r="A122" t="s">
        <v>306</v>
      </c>
      <c r="B122" s="23">
        <v>46095.75</v>
      </c>
      <c r="C122" t="s">
        <v>79</v>
      </c>
      <c r="D122" t="s">
        <v>75</v>
      </c>
      <c r="E122" t="s">
        <v>115</v>
      </c>
      <c r="F122" t="s">
        <v>113</v>
      </c>
      <c r="G122">
        <v>13626</v>
      </c>
      <c r="H122">
        <v>866</v>
      </c>
      <c r="I122">
        <v>53</v>
      </c>
      <c r="J122">
        <v>126</v>
      </c>
      <c r="K122">
        <v>123</v>
      </c>
    </row>
    <row r="123" spans="1:11" ht="14.4" x14ac:dyDescent="0.3">
      <c r="A123" t="s">
        <v>307</v>
      </c>
      <c r="B123" s="23">
        <v>45953.333333333299</v>
      </c>
      <c r="C123" t="s">
        <v>100</v>
      </c>
      <c r="D123" t="s">
        <v>80</v>
      </c>
      <c r="E123" t="s">
        <v>76</v>
      </c>
      <c r="F123" t="s">
        <v>204</v>
      </c>
      <c r="G123">
        <v>14993</v>
      </c>
      <c r="H123">
        <v>716</v>
      </c>
      <c r="I123">
        <v>41</v>
      </c>
      <c r="J123">
        <v>29</v>
      </c>
      <c r="K123">
        <v>67</v>
      </c>
    </row>
    <row r="124" spans="1:11" ht="14.4" x14ac:dyDescent="0.3">
      <c r="A124" t="s">
        <v>308</v>
      </c>
      <c r="B124" s="23">
        <v>45959</v>
      </c>
      <c r="C124" t="s">
        <v>74</v>
      </c>
      <c r="D124" t="s">
        <v>128</v>
      </c>
      <c r="E124" t="s">
        <v>88</v>
      </c>
      <c r="F124" t="s">
        <v>309</v>
      </c>
      <c r="G124">
        <v>4821</v>
      </c>
      <c r="H124">
        <v>363</v>
      </c>
      <c r="I124">
        <v>28</v>
      </c>
      <c r="J124">
        <v>30</v>
      </c>
      <c r="K124">
        <v>30</v>
      </c>
    </row>
    <row r="125" spans="1:11" ht="14.4" x14ac:dyDescent="0.3">
      <c r="A125" t="s">
        <v>310</v>
      </c>
      <c r="B125" s="23">
        <v>45952.416666666701</v>
      </c>
      <c r="C125" t="s">
        <v>79</v>
      </c>
      <c r="D125" t="s">
        <v>85</v>
      </c>
      <c r="E125" t="s">
        <v>91</v>
      </c>
      <c r="F125" t="s">
        <v>311</v>
      </c>
      <c r="G125">
        <v>6505</v>
      </c>
      <c r="H125">
        <v>308</v>
      </c>
      <c r="I125">
        <v>17</v>
      </c>
      <c r="J125">
        <v>41</v>
      </c>
      <c r="K125">
        <v>63</v>
      </c>
    </row>
    <row r="126" spans="1:11" ht="14.4" x14ac:dyDescent="0.3">
      <c r="A126" t="s">
        <v>312</v>
      </c>
      <c r="B126" s="23">
        <v>46006.166666666701</v>
      </c>
      <c r="C126" t="s">
        <v>79</v>
      </c>
      <c r="D126" t="s">
        <v>80</v>
      </c>
      <c r="E126" t="s">
        <v>94</v>
      </c>
      <c r="F126" t="s">
        <v>313</v>
      </c>
      <c r="G126">
        <v>38653</v>
      </c>
      <c r="H126">
        <v>3047</v>
      </c>
      <c r="I126">
        <v>180</v>
      </c>
      <c r="J126">
        <v>372</v>
      </c>
      <c r="K126">
        <v>177</v>
      </c>
    </row>
    <row r="127" spans="1:11" ht="14.4" x14ac:dyDescent="0.3">
      <c r="A127" t="s">
        <v>314</v>
      </c>
      <c r="B127" s="23">
        <v>45790.333333333299</v>
      </c>
      <c r="C127" t="s">
        <v>74</v>
      </c>
      <c r="D127" t="s">
        <v>80</v>
      </c>
      <c r="E127" t="s">
        <v>111</v>
      </c>
      <c r="F127" t="s">
        <v>315</v>
      </c>
      <c r="G127">
        <v>19156</v>
      </c>
      <c r="H127">
        <v>1396</v>
      </c>
      <c r="I127">
        <v>30</v>
      </c>
      <c r="J127">
        <v>178</v>
      </c>
      <c r="K127">
        <v>20</v>
      </c>
    </row>
    <row r="128" spans="1:11" ht="14.4" x14ac:dyDescent="0.3">
      <c r="A128" t="s">
        <v>316</v>
      </c>
      <c r="B128" s="23">
        <v>45877.458333333299</v>
      </c>
      <c r="C128" t="s">
        <v>100</v>
      </c>
      <c r="D128" t="s">
        <v>75</v>
      </c>
      <c r="E128" t="s">
        <v>91</v>
      </c>
      <c r="F128" t="s">
        <v>213</v>
      </c>
      <c r="G128">
        <v>6083</v>
      </c>
      <c r="H128">
        <v>484</v>
      </c>
      <c r="I128">
        <v>40</v>
      </c>
      <c r="J128">
        <v>35</v>
      </c>
      <c r="K128">
        <v>50</v>
      </c>
    </row>
    <row r="129" spans="1:11" ht="14.4" x14ac:dyDescent="0.3">
      <c r="A129" t="s">
        <v>317</v>
      </c>
      <c r="B129" s="23">
        <v>45910.666666666701</v>
      </c>
      <c r="C129" t="s">
        <v>74</v>
      </c>
      <c r="D129" t="s">
        <v>80</v>
      </c>
      <c r="E129" t="s">
        <v>76</v>
      </c>
      <c r="F129" t="s">
        <v>309</v>
      </c>
      <c r="G129">
        <v>4634</v>
      </c>
      <c r="H129">
        <v>398</v>
      </c>
      <c r="I129">
        <v>9</v>
      </c>
      <c r="J129">
        <v>49</v>
      </c>
      <c r="K129">
        <v>32</v>
      </c>
    </row>
    <row r="130" spans="1:11" ht="14.4" x14ac:dyDescent="0.3">
      <c r="A130" t="s">
        <v>318</v>
      </c>
      <c r="B130" s="23">
        <v>45982.875</v>
      </c>
      <c r="C130" t="s">
        <v>74</v>
      </c>
      <c r="D130" t="s">
        <v>80</v>
      </c>
      <c r="E130" t="s">
        <v>111</v>
      </c>
      <c r="F130" t="s">
        <v>319</v>
      </c>
      <c r="G130">
        <v>29100</v>
      </c>
      <c r="H130">
        <v>1745</v>
      </c>
      <c r="I130">
        <v>167</v>
      </c>
      <c r="J130">
        <v>67</v>
      </c>
      <c r="K130">
        <v>216</v>
      </c>
    </row>
    <row r="131" spans="1:11" ht="14.4" x14ac:dyDescent="0.3">
      <c r="A131" t="s">
        <v>320</v>
      </c>
      <c r="B131" s="23">
        <v>46052.041666666701</v>
      </c>
      <c r="C131" t="s">
        <v>74</v>
      </c>
      <c r="D131" t="s">
        <v>80</v>
      </c>
      <c r="E131" t="s">
        <v>76</v>
      </c>
      <c r="F131" t="s">
        <v>321</v>
      </c>
      <c r="G131">
        <v>12333</v>
      </c>
      <c r="H131">
        <v>731</v>
      </c>
      <c r="I131">
        <v>20</v>
      </c>
      <c r="J131">
        <v>33</v>
      </c>
      <c r="K131">
        <v>81</v>
      </c>
    </row>
    <row r="132" spans="1:11" ht="14.4" x14ac:dyDescent="0.3">
      <c r="A132" t="s">
        <v>322</v>
      </c>
      <c r="B132" s="23">
        <v>46080.791666666701</v>
      </c>
      <c r="C132" t="s">
        <v>79</v>
      </c>
      <c r="D132" t="s">
        <v>128</v>
      </c>
      <c r="E132" t="s">
        <v>115</v>
      </c>
      <c r="F132" t="s">
        <v>323</v>
      </c>
      <c r="G132">
        <v>3196</v>
      </c>
      <c r="H132">
        <v>244</v>
      </c>
      <c r="I132">
        <v>7</v>
      </c>
      <c r="J132">
        <v>35</v>
      </c>
      <c r="K132">
        <v>31</v>
      </c>
    </row>
    <row r="133" spans="1:11" ht="14.4" x14ac:dyDescent="0.3">
      <c r="A133" t="s">
        <v>324</v>
      </c>
      <c r="B133" s="23">
        <v>45966.375</v>
      </c>
      <c r="C133" t="s">
        <v>74</v>
      </c>
      <c r="D133" t="s">
        <v>97</v>
      </c>
      <c r="E133" t="s">
        <v>131</v>
      </c>
      <c r="F133" t="s">
        <v>122</v>
      </c>
      <c r="G133">
        <v>4924</v>
      </c>
      <c r="H133">
        <v>229</v>
      </c>
      <c r="I133">
        <v>6</v>
      </c>
      <c r="J133">
        <v>27</v>
      </c>
      <c r="K133">
        <v>11</v>
      </c>
    </row>
    <row r="134" spans="1:11" ht="14.4" x14ac:dyDescent="0.3">
      <c r="A134" t="s">
        <v>325</v>
      </c>
      <c r="B134" s="23">
        <v>45898.291666666701</v>
      </c>
      <c r="C134" t="s">
        <v>74</v>
      </c>
      <c r="D134" t="s">
        <v>85</v>
      </c>
      <c r="E134" t="s">
        <v>88</v>
      </c>
      <c r="F134" t="s">
        <v>326</v>
      </c>
      <c r="G134">
        <v>4710</v>
      </c>
      <c r="H134">
        <v>298</v>
      </c>
      <c r="I134">
        <v>23</v>
      </c>
      <c r="J134">
        <v>29</v>
      </c>
      <c r="K134">
        <v>14</v>
      </c>
    </row>
    <row r="135" spans="1:11" ht="14.4" x14ac:dyDescent="0.3">
      <c r="A135" t="s">
        <v>327</v>
      </c>
      <c r="B135" s="23">
        <v>45953.375</v>
      </c>
      <c r="C135" t="s">
        <v>84</v>
      </c>
      <c r="D135" t="s">
        <v>75</v>
      </c>
      <c r="E135" t="s">
        <v>131</v>
      </c>
      <c r="F135" t="s">
        <v>118</v>
      </c>
      <c r="G135">
        <v>11665</v>
      </c>
      <c r="H135">
        <v>966</v>
      </c>
      <c r="I135">
        <v>49</v>
      </c>
      <c r="J135">
        <v>74</v>
      </c>
      <c r="K135">
        <v>85</v>
      </c>
    </row>
    <row r="136" spans="1:11" ht="14.4" x14ac:dyDescent="0.3">
      <c r="A136" t="s">
        <v>328</v>
      </c>
      <c r="B136" s="23">
        <v>45916.125</v>
      </c>
      <c r="C136" t="s">
        <v>74</v>
      </c>
      <c r="D136" t="s">
        <v>80</v>
      </c>
      <c r="E136" t="s">
        <v>131</v>
      </c>
      <c r="F136" t="s">
        <v>313</v>
      </c>
      <c r="G136">
        <v>41714</v>
      </c>
      <c r="H136">
        <v>3661</v>
      </c>
      <c r="I136">
        <v>293</v>
      </c>
      <c r="J136">
        <v>230</v>
      </c>
      <c r="K136">
        <v>238</v>
      </c>
    </row>
    <row r="137" spans="1:11" ht="14.4" x14ac:dyDescent="0.3">
      <c r="A137" t="s">
        <v>329</v>
      </c>
      <c r="B137" s="23">
        <v>45992.291666666701</v>
      </c>
      <c r="C137" t="s">
        <v>84</v>
      </c>
      <c r="D137" t="s">
        <v>128</v>
      </c>
      <c r="E137" t="s">
        <v>115</v>
      </c>
      <c r="F137" t="s">
        <v>330</v>
      </c>
      <c r="G137">
        <v>8738</v>
      </c>
      <c r="H137">
        <v>553</v>
      </c>
      <c r="I137">
        <v>28</v>
      </c>
      <c r="J137">
        <v>39</v>
      </c>
      <c r="K137">
        <v>69</v>
      </c>
    </row>
    <row r="138" spans="1:11" ht="14.4" x14ac:dyDescent="0.3">
      <c r="A138" t="s">
        <v>331</v>
      </c>
      <c r="B138" s="23">
        <v>45956.458333333299</v>
      </c>
      <c r="C138" t="s">
        <v>74</v>
      </c>
      <c r="D138" t="s">
        <v>80</v>
      </c>
      <c r="E138" t="s">
        <v>131</v>
      </c>
      <c r="F138" t="s">
        <v>332</v>
      </c>
      <c r="G138">
        <v>33314</v>
      </c>
      <c r="H138">
        <v>2109</v>
      </c>
      <c r="I138">
        <v>108</v>
      </c>
      <c r="J138">
        <v>136</v>
      </c>
      <c r="K138">
        <v>181</v>
      </c>
    </row>
    <row r="139" spans="1:11" ht="14.4" x14ac:dyDescent="0.3">
      <c r="A139" t="s">
        <v>333</v>
      </c>
      <c r="B139" s="23">
        <v>45815.791666666701</v>
      </c>
      <c r="C139" t="s">
        <v>74</v>
      </c>
      <c r="D139" t="s">
        <v>75</v>
      </c>
      <c r="E139" t="s">
        <v>131</v>
      </c>
      <c r="F139" t="s">
        <v>233</v>
      </c>
      <c r="G139">
        <v>23115</v>
      </c>
      <c r="H139">
        <v>1530</v>
      </c>
      <c r="I139">
        <v>124</v>
      </c>
      <c r="J139">
        <v>185</v>
      </c>
      <c r="K139">
        <v>75</v>
      </c>
    </row>
    <row r="140" spans="1:11" ht="14.4" x14ac:dyDescent="0.3">
      <c r="A140" t="s">
        <v>334</v>
      </c>
      <c r="B140" s="23">
        <v>45832.833333333299</v>
      </c>
      <c r="C140" t="s">
        <v>74</v>
      </c>
      <c r="D140" t="s">
        <v>128</v>
      </c>
      <c r="E140" t="s">
        <v>88</v>
      </c>
      <c r="F140" t="s">
        <v>335</v>
      </c>
      <c r="G140">
        <v>11247</v>
      </c>
      <c r="H140">
        <v>379</v>
      </c>
      <c r="I140">
        <v>33</v>
      </c>
      <c r="J140">
        <v>41</v>
      </c>
      <c r="K140">
        <v>59</v>
      </c>
    </row>
    <row r="141" spans="1:11" ht="14.4" x14ac:dyDescent="0.3">
      <c r="A141" t="s">
        <v>336</v>
      </c>
      <c r="B141" s="23">
        <v>45945.333333333299</v>
      </c>
      <c r="C141" t="s">
        <v>84</v>
      </c>
      <c r="D141" t="s">
        <v>128</v>
      </c>
      <c r="E141" t="s">
        <v>111</v>
      </c>
      <c r="F141" t="s">
        <v>337</v>
      </c>
      <c r="G141">
        <v>8718</v>
      </c>
      <c r="H141">
        <v>417</v>
      </c>
      <c r="I141">
        <v>40</v>
      </c>
      <c r="J141">
        <v>38</v>
      </c>
      <c r="K141">
        <v>39</v>
      </c>
    </row>
    <row r="142" spans="1:11" ht="14.4" x14ac:dyDescent="0.3">
      <c r="A142" t="s">
        <v>338</v>
      </c>
      <c r="B142" s="23">
        <v>45858.083333333299</v>
      </c>
      <c r="C142" t="s">
        <v>74</v>
      </c>
      <c r="D142" t="s">
        <v>80</v>
      </c>
      <c r="E142" t="s">
        <v>91</v>
      </c>
      <c r="F142" t="s">
        <v>339</v>
      </c>
      <c r="G142">
        <v>14907</v>
      </c>
      <c r="H142">
        <v>1145</v>
      </c>
      <c r="I142">
        <v>65</v>
      </c>
      <c r="J142">
        <v>68</v>
      </c>
      <c r="K142">
        <v>106</v>
      </c>
    </row>
    <row r="143" spans="1:11" ht="14.4" x14ac:dyDescent="0.3">
      <c r="A143" t="s">
        <v>340</v>
      </c>
      <c r="B143" s="23">
        <v>45876.083333333299</v>
      </c>
      <c r="C143" t="s">
        <v>74</v>
      </c>
      <c r="D143" t="s">
        <v>75</v>
      </c>
      <c r="E143" t="s">
        <v>76</v>
      </c>
      <c r="F143" t="s">
        <v>341</v>
      </c>
      <c r="G143">
        <v>15057</v>
      </c>
      <c r="H143">
        <v>1179</v>
      </c>
      <c r="I143">
        <v>52</v>
      </c>
      <c r="J143">
        <v>47</v>
      </c>
      <c r="K143">
        <v>39</v>
      </c>
    </row>
    <row r="144" spans="1:11" ht="14.4" x14ac:dyDescent="0.3">
      <c r="A144" t="s">
        <v>342</v>
      </c>
      <c r="B144" s="23">
        <v>46034.125</v>
      </c>
      <c r="C144" t="s">
        <v>74</v>
      </c>
      <c r="D144" t="s">
        <v>80</v>
      </c>
      <c r="E144" t="s">
        <v>131</v>
      </c>
      <c r="F144" t="s">
        <v>343</v>
      </c>
      <c r="G144">
        <v>25976</v>
      </c>
      <c r="H144">
        <v>879</v>
      </c>
      <c r="I144">
        <v>39</v>
      </c>
      <c r="J144">
        <v>63</v>
      </c>
      <c r="K144">
        <v>67</v>
      </c>
    </row>
    <row r="145" spans="1:11" ht="14.4" x14ac:dyDescent="0.3">
      <c r="A145" t="s">
        <v>344</v>
      </c>
      <c r="B145" s="23">
        <v>45938</v>
      </c>
      <c r="C145" t="s">
        <v>74</v>
      </c>
      <c r="D145" t="s">
        <v>85</v>
      </c>
      <c r="E145" t="s">
        <v>88</v>
      </c>
      <c r="F145" t="s">
        <v>345</v>
      </c>
      <c r="G145">
        <v>8321</v>
      </c>
      <c r="H145">
        <v>587</v>
      </c>
      <c r="I145">
        <v>57</v>
      </c>
      <c r="J145">
        <v>82</v>
      </c>
      <c r="K145">
        <v>20</v>
      </c>
    </row>
    <row r="146" spans="1:11" ht="14.4" x14ac:dyDescent="0.3">
      <c r="A146" t="s">
        <v>346</v>
      </c>
      <c r="B146" s="23">
        <v>46008.125</v>
      </c>
      <c r="C146" t="s">
        <v>84</v>
      </c>
      <c r="D146" t="s">
        <v>80</v>
      </c>
      <c r="E146" t="s">
        <v>131</v>
      </c>
      <c r="F146" t="s">
        <v>315</v>
      </c>
      <c r="G146">
        <v>22958</v>
      </c>
      <c r="H146">
        <v>1882</v>
      </c>
      <c r="I146">
        <v>69</v>
      </c>
      <c r="J146">
        <v>244</v>
      </c>
      <c r="K146">
        <v>67</v>
      </c>
    </row>
    <row r="147" spans="1:11" ht="14.4" x14ac:dyDescent="0.3">
      <c r="A147" t="s">
        <v>347</v>
      </c>
      <c r="B147" s="23">
        <v>45873.791666666701</v>
      </c>
      <c r="C147" t="s">
        <v>74</v>
      </c>
      <c r="D147" t="s">
        <v>85</v>
      </c>
      <c r="E147" t="s">
        <v>94</v>
      </c>
      <c r="F147" t="s">
        <v>150</v>
      </c>
      <c r="G147">
        <v>9330</v>
      </c>
      <c r="H147">
        <v>682</v>
      </c>
      <c r="I147">
        <v>33</v>
      </c>
      <c r="J147">
        <v>52</v>
      </c>
      <c r="K147">
        <v>61</v>
      </c>
    </row>
    <row r="148" spans="1:11" ht="14.4" x14ac:dyDescent="0.3">
      <c r="A148" t="s">
        <v>348</v>
      </c>
      <c r="B148" s="23">
        <v>46045.125</v>
      </c>
      <c r="C148" t="s">
        <v>79</v>
      </c>
      <c r="D148" t="s">
        <v>85</v>
      </c>
      <c r="E148" t="s">
        <v>88</v>
      </c>
      <c r="F148" t="s">
        <v>349</v>
      </c>
      <c r="G148">
        <v>5581</v>
      </c>
      <c r="H148">
        <v>197</v>
      </c>
      <c r="I148">
        <v>8</v>
      </c>
      <c r="J148">
        <v>7</v>
      </c>
      <c r="K148">
        <v>35</v>
      </c>
    </row>
    <row r="149" spans="1:11" ht="14.4" x14ac:dyDescent="0.3">
      <c r="A149" t="s">
        <v>350</v>
      </c>
      <c r="B149" s="23">
        <v>45884.958333333299</v>
      </c>
      <c r="C149" t="s">
        <v>74</v>
      </c>
      <c r="D149" t="s">
        <v>75</v>
      </c>
      <c r="E149" t="s">
        <v>115</v>
      </c>
      <c r="F149" t="s">
        <v>305</v>
      </c>
      <c r="G149">
        <v>30846</v>
      </c>
      <c r="H149">
        <v>2545</v>
      </c>
      <c r="I149">
        <v>84</v>
      </c>
      <c r="J149">
        <v>332</v>
      </c>
      <c r="K149">
        <v>86</v>
      </c>
    </row>
    <row r="150" spans="1:11" ht="14.4" x14ac:dyDescent="0.3">
      <c r="A150" t="s">
        <v>351</v>
      </c>
      <c r="B150" s="23">
        <v>45932.833333333299</v>
      </c>
      <c r="C150" t="s">
        <v>74</v>
      </c>
      <c r="D150" t="s">
        <v>80</v>
      </c>
      <c r="E150" t="s">
        <v>91</v>
      </c>
      <c r="F150" t="s">
        <v>352</v>
      </c>
      <c r="G150">
        <v>25213</v>
      </c>
      <c r="H150">
        <v>1185</v>
      </c>
      <c r="I150">
        <v>32</v>
      </c>
      <c r="J150">
        <v>31</v>
      </c>
      <c r="K150">
        <v>184</v>
      </c>
    </row>
    <row r="151" spans="1:11" ht="14.4" x14ac:dyDescent="0.3">
      <c r="A151" t="s">
        <v>353</v>
      </c>
      <c r="B151" s="23">
        <v>45926.916666666701</v>
      </c>
      <c r="C151" t="s">
        <v>79</v>
      </c>
      <c r="D151" t="s">
        <v>80</v>
      </c>
      <c r="E151" t="s">
        <v>115</v>
      </c>
      <c r="F151" t="s">
        <v>354</v>
      </c>
      <c r="G151">
        <v>9037</v>
      </c>
      <c r="H151">
        <v>305</v>
      </c>
      <c r="I151">
        <v>19</v>
      </c>
      <c r="J151">
        <v>20</v>
      </c>
      <c r="K151">
        <v>42</v>
      </c>
    </row>
    <row r="152" spans="1:11" ht="14.4" x14ac:dyDescent="0.3">
      <c r="A152" t="s">
        <v>355</v>
      </c>
      <c r="B152" s="23">
        <v>45970.416666666701</v>
      </c>
      <c r="C152" t="s">
        <v>74</v>
      </c>
      <c r="D152" t="s">
        <v>80</v>
      </c>
      <c r="E152" t="s">
        <v>111</v>
      </c>
      <c r="F152" t="s">
        <v>356</v>
      </c>
      <c r="G152">
        <v>10373</v>
      </c>
      <c r="H152">
        <v>732</v>
      </c>
      <c r="I152">
        <v>34</v>
      </c>
      <c r="J152">
        <v>106</v>
      </c>
      <c r="K152">
        <v>20</v>
      </c>
    </row>
    <row r="153" spans="1:11" ht="14.4" x14ac:dyDescent="0.3">
      <c r="A153" t="s">
        <v>357</v>
      </c>
      <c r="B153" s="23">
        <v>45907.708333333299</v>
      </c>
      <c r="C153" t="s">
        <v>74</v>
      </c>
      <c r="D153" t="s">
        <v>75</v>
      </c>
      <c r="E153" t="s">
        <v>115</v>
      </c>
      <c r="F153" t="s">
        <v>219</v>
      </c>
      <c r="G153">
        <v>9851</v>
      </c>
      <c r="H153">
        <v>777</v>
      </c>
      <c r="I153">
        <v>18</v>
      </c>
      <c r="J153">
        <v>98</v>
      </c>
      <c r="K153">
        <v>28</v>
      </c>
    </row>
    <row r="154" spans="1:11" ht="14.4" x14ac:dyDescent="0.3">
      <c r="A154" t="s">
        <v>358</v>
      </c>
      <c r="B154" s="23">
        <v>45872.875</v>
      </c>
      <c r="C154" t="s">
        <v>79</v>
      </c>
      <c r="D154" t="s">
        <v>97</v>
      </c>
      <c r="E154" t="s">
        <v>88</v>
      </c>
      <c r="F154" t="s">
        <v>359</v>
      </c>
      <c r="G154">
        <v>5352</v>
      </c>
      <c r="H154">
        <v>223</v>
      </c>
      <c r="I154">
        <v>16</v>
      </c>
      <c r="J154">
        <v>13</v>
      </c>
      <c r="K154">
        <v>20</v>
      </c>
    </row>
    <row r="155" spans="1:11" ht="14.4" x14ac:dyDescent="0.3">
      <c r="A155" t="s">
        <v>360</v>
      </c>
      <c r="B155" s="23">
        <v>45813.208333333299</v>
      </c>
      <c r="C155" t="s">
        <v>84</v>
      </c>
      <c r="D155" t="s">
        <v>85</v>
      </c>
      <c r="E155" t="s">
        <v>131</v>
      </c>
      <c r="F155" t="s">
        <v>361</v>
      </c>
      <c r="G155">
        <v>19017</v>
      </c>
      <c r="H155">
        <v>711</v>
      </c>
      <c r="I155">
        <v>52</v>
      </c>
      <c r="J155">
        <v>24</v>
      </c>
      <c r="K155">
        <v>137</v>
      </c>
    </row>
    <row r="156" spans="1:11" ht="14.4" x14ac:dyDescent="0.3">
      <c r="A156" t="s">
        <v>362</v>
      </c>
      <c r="B156" s="23">
        <v>45794.083333333299</v>
      </c>
      <c r="C156" t="s">
        <v>84</v>
      </c>
      <c r="D156" t="s">
        <v>85</v>
      </c>
      <c r="E156" t="s">
        <v>131</v>
      </c>
      <c r="F156" t="s">
        <v>286</v>
      </c>
      <c r="G156">
        <v>15281</v>
      </c>
      <c r="H156">
        <v>581</v>
      </c>
      <c r="I156">
        <v>55</v>
      </c>
      <c r="J156">
        <v>55</v>
      </c>
      <c r="K156">
        <v>22</v>
      </c>
    </row>
    <row r="157" spans="1:11" ht="14.4" x14ac:dyDescent="0.3">
      <c r="A157" t="s">
        <v>363</v>
      </c>
      <c r="B157" s="23">
        <v>46042.583333333299</v>
      </c>
      <c r="C157" t="s">
        <v>74</v>
      </c>
      <c r="D157" t="s">
        <v>80</v>
      </c>
      <c r="E157" t="s">
        <v>115</v>
      </c>
      <c r="F157" t="s">
        <v>146</v>
      </c>
      <c r="G157">
        <v>19519</v>
      </c>
      <c r="H157">
        <v>1138</v>
      </c>
      <c r="I157">
        <v>92</v>
      </c>
      <c r="J157">
        <v>81</v>
      </c>
      <c r="K157">
        <v>35</v>
      </c>
    </row>
    <row r="158" spans="1:11" ht="14.4" x14ac:dyDescent="0.3">
      <c r="A158" t="s">
        <v>364</v>
      </c>
      <c r="B158" s="23">
        <v>45842.583333333299</v>
      </c>
      <c r="C158" t="s">
        <v>84</v>
      </c>
      <c r="D158" t="s">
        <v>75</v>
      </c>
      <c r="E158" t="s">
        <v>81</v>
      </c>
      <c r="F158" t="s">
        <v>249</v>
      </c>
      <c r="G158">
        <v>9315</v>
      </c>
      <c r="H158">
        <v>783</v>
      </c>
      <c r="I158">
        <v>75</v>
      </c>
      <c r="J158">
        <v>83</v>
      </c>
      <c r="K158">
        <v>28</v>
      </c>
    </row>
    <row r="159" spans="1:11" ht="14.4" x14ac:dyDescent="0.3">
      <c r="A159" t="s">
        <v>365</v>
      </c>
      <c r="B159" s="23">
        <v>45772.958333333299</v>
      </c>
      <c r="C159" t="s">
        <v>84</v>
      </c>
      <c r="D159" t="s">
        <v>85</v>
      </c>
      <c r="E159" t="s">
        <v>81</v>
      </c>
      <c r="F159" t="s">
        <v>366</v>
      </c>
      <c r="G159">
        <v>6935</v>
      </c>
      <c r="H159">
        <v>373</v>
      </c>
      <c r="I159">
        <v>32</v>
      </c>
      <c r="J159">
        <v>8</v>
      </c>
      <c r="K159">
        <v>52</v>
      </c>
    </row>
    <row r="160" spans="1:11" ht="14.4" x14ac:dyDescent="0.3">
      <c r="A160" t="s">
        <v>367</v>
      </c>
      <c r="B160" s="23">
        <v>46085.708333333299</v>
      </c>
      <c r="C160" t="s">
        <v>74</v>
      </c>
      <c r="D160" t="s">
        <v>75</v>
      </c>
      <c r="E160" t="s">
        <v>131</v>
      </c>
      <c r="F160" t="s">
        <v>277</v>
      </c>
      <c r="G160">
        <v>31041</v>
      </c>
      <c r="H160">
        <v>2511</v>
      </c>
      <c r="I160">
        <v>185</v>
      </c>
      <c r="J160">
        <v>357</v>
      </c>
      <c r="K160">
        <v>298</v>
      </c>
    </row>
    <row r="161" spans="1:11" ht="14.4" x14ac:dyDescent="0.3">
      <c r="A161" t="s">
        <v>368</v>
      </c>
      <c r="B161" s="23">
        <v>45991.458333333299</v>
      </c>
      <c r="C161" t="s">
        <v>100</v>
      </c>
      <c r="D161" t="s">
        <v>128</v>
      </c>
      <c r="E161" t="s">
        <v>115</v>
      </c>
      <c r="F161" t="s">
        <v>225</v>
      </c>
      <c r="G161">
        <v>9210</v>
      </c>
      <c r="H161">
        <v>677</v>
      </c>
      <c r="I161">
        <v>36</v>
      </c>
      <c r="J161">
        <v>92</v>
      </c>
      <c r="K161">
        <v>22</v>
      </c>
    </row>
    <row r="162" spans="1:11" ht="14.4" x14ac:dyDescent="0.3">
      <c r="A162" t="s">
        <v>369</v>
      </c>
      <c r="B162" s="23">
        <v>46008.125</v>
      </c>
      <c r="C162" t="s">
        <v>79</v>
      </c>
      <c r="D162" t="s">
        <v>85</v>
      </c>
      <c r="E162" t="s">
        <v>91</v>
      </c>
      <c r="F162" t="s">
        <v>197</v>
      </c>
      <c r="G162">
        <v>4308</v>
      </c>
      <c r="H162">
        <v>161</v>
      </c>
      <c r="I162">
        <v>3</v>
      </c>
      <c r="J162">
        <v>2</v>
      </c>
      <c r="K162">
        <v>36</v>
      </c>
    </row>
    <row r="163" spans="1:11" ht="14.4" x14ac:dyDescent="0.3">
      <c r="A163" t="s">
        <v>370</v>
      </c>
      <c r="B163" s="23">
        <v>45993.708333333299</v>
      </c>
      <c r="C163" t="s">
        <v>100</v>
      </c>
      <c r="D163" t="s">
        <v>85</v>
      </c>
      <c r="E163" t="s">
        <v>88</v>
      </c>
      <c r="F163" t="s">
        <v>371</v>
      </c>
      <c r="G163">
        <v>4599</v>
      </c>
      <c r="H163">
        <v>266</v>
      </c>
      <c r="I163">
        <v>11</v>
      </c>
      <c r="J163">
        <v>31</v>
      </c>
      <c r="K163">
        <v>15</v>
      </c>
    </row>
    <row r="164" spans="1:11" ht="14.4" x14ac:dyDescent="0.3">
      <c r="A164" t="s">
        <v>372</v>
      </c>
      <c r="B164" s="23">
        <v>46030.458333333299</v>
      </c>
      <c r="C164" t="s">
        <v>84</v>
      </c>
      <c r="D164" t="s">
        <v>85</v>
      </c>
      <c r="E164" t="s">
        <v>81</v>
      </c>
      <c r="F164" t="s">
        <v>373</v>
      </c>
      <c r="G164">
        <v>7148</v>
      </c>
      <c r="H164">
        <v>386</v>
      </c>
      <c r="I164">
        <v>12</v>
      </c>
      <c r="J164">
        <v>20</v>
      </c>
      <c r="K164">
        <v>7</v>
      </c>
    </row>
    <row r="165" spans="1:11" ht="14.4" x14ac:dyDescent="0.3">
      <c r="A165" t="s">
        <v>374</v>
      </c>
      <c r="B165" s="23">
        <v>45942.375</v>
      </c>
      <c r="C165" t="s">
        <v>74</v>
      </c>
      <c r="D165" t="s">
        <v>128</v>
      </c>
      <c r="E165" t="s">
        <v>76</v>
      </c>
      <c r="F165" t="s">
        <v>122</v>
      </c>
      <c r="G165">
        <v>8269</v>
      </c>
      <c r="H165">
        <v>648</v>
      </c>
      <c r="I165">
        <v>16</v>
      </c>
      <c r="J165">
        <v>56</v>
      </c>
      <c r="K165">
        <v>56</v>
      </c>
    </row>
    <row r="166" spans="1:11" ht="14.4" x14ac:dyDescent="0.3">
      <c r="A166" t="s">
        <v>375</v>
      </c>
      <c r="B166" s="23">
        <v>45880</v>
      </c>
      <c r="C166" t="s">
        <v>74</v>
      </c>
      <c r="D166" t="s">
        <v>75</v>
      </c>
      <c r="E166" t="s">
        <v>115</v>
      </c>
      <c r="F166" t="s">
        <v>201</v>
      </c>
      <c r="G166">
        <v>7886</v>
      </c>
      <c r="H166">
        <v>478</v>
      </c>
      <c r="I166">
        <v>21</v>
      </c>
      <c r="J166">
        <v>20</v>
      </c>
      <c r="K166">
        <v>58</v>
      </c>
    </row>
    <row r="167" spans="1:11" ht="14.4" x14ac:dyDescent="0.3">
      <c r="A167" t="s">
        <v>376</v>
      </c>
      <c r="B167" s="23">
        <v>45916.375</v>
      </c>
      <c r="C167" t="s">
        <v>74</v>
      </c>
      <c r="D167" t="s">
        <v>97</v>
      </c>
      <c r="E167" t="s">
        <v>94</v>
      </c>
      <c r="F167" t="s">
        <v>377</v>
      </c>
      <c r="G167">
        <v>4913</v>
      </c>
      <c r="H167">
        <v>349</v>
      </c>
      <c r="I167">
        <v>26</v>
      </c>
      <c r="J167">
        <v>41</v>
      </c>
      <c r="K167">
        <v>5</v>
      </c>
    </row>
    <row r="168" spans="1:11" ht="14.4" x14ac:dyDescent="0.3">
      <c r="A168" t="s">
        <v>378</v>
      </c>
      <c r="B168" s="23">
        <v>45937.125</v>
      </c>
      <c r="C168" t="s">
        <v>79</v>
      </c>
      <c r="D168" t="s">
        <v>128</v>
      </c>
      <c r="E168" t="s">
        <v>94</v>
      </c>
      <c r="F168" t="s">
        <v>379</v>
      </c>
      <c r="G168">
        <v>5097</v>
      </c>
      <c r="H168">
        <v>256</v>
      </c>
      <c r="I168">
        <v>8</v>
      </c>
      <c r="J168">
        <v>7</v>
      </c>
      <c r="K168">
        <v>11</v>
      </c>
    </row>
    <row r="169" spans="1:11" ht="14.4" x14ac:dyDescent="0.3">
      <c r="A169" t="s">
        <v>380</v>
      </c>
      <c r="B169" s="23">
        <v>45757.958333333299</v>
      </c>
      <c r="C169" t="s">
        <v>84</v>
      </c>
      <c r="D169" t="s">
        <v>75</v>
      </c>
      <c r="E169" t="s">
        <v>111</v>
      </c>
      <c r="F169" t="s">
        <v>381</v>
      </c>
      <c r="G169">
        <v>8403</v>
      </c>
      <c r="H169">
        <v>341</v>
      </c>
      <c r="I169">
        <v>15</v>
      </c>
      <c r="J169">
        <v>10</v>
      </c>
      <c r="K169">
        <v>33</v>
      </c>
    </row>
    <row r="170" spans="1:11" ht="14.4" x14ac:dyDescent="0.3">
      <c r="A170" t="s">
        <v>382</v>
      </c>
      <c r="B170" s="23">
        <v>45853.541666666701</v>
      </c>
      <c r="C170" t="s">
        <v>74</v>
      </c>
      <c r="D170" t="s">
        <v>80</v>
      </c>
      <c r="E170" t="s">
        <v>88</v>
      </c>
      <c r="F170" t="s">
        <v>383</v>
      </c>
      <c r="G170">
        <v>20873</v>
      </c>
      <c r="H170">
        <v>1632</v>
      </c>
      <c r="I170">
        <v>106</v>
      </c>
      <c r="J170">
        <v>31</v>
      </c>
      <c r="K170">
        <v>120</v>
      </c>
    </row>
    <row r="171" spans="1:11" ht="14.4" x14ac:dyDescent="0.3">
      <c r="A171" t="s">
        <v>384</v>
      </c>
      <c r="B171" s="23">
        <v>46099.041666666701</v>
      </c>
      <c r="C171" t="s">
        <v>100</v>
      </c>
      <c r="D171" t="s">
        <v>85</v>
      </c>
      <c r="E171" t="s">
        <v>81</v>
      </c>
      <c r="F171" t="s">
        <v>385</v>
      </c>
      <c r="G171">
        <v>11268</v>
      </c>
      <c r="H171">
        <v>937</v>
      </c>
      <c r="I171">
        <v>89</v>
      </c>
      <c r="J171">
        <v>125</v>
      </c>
      <c r="K171">
        <v>62</v>
      </c>
    </row>
    <row r="172" spans="1:11" ht="14.4" x14ac:dyDescent="0.3">
      <c r="A172" t="s">
        <v>386</v>
      </c>
      <c r="B172" s="23">
        <v>45960</v>
      </c>
      <c r="C172" t="s">
        <v>100</v>
      </c>
      <c r="D172" t="s">
        <v>128</v>
      </c>
      <c r="E172" t="s">
        <v>131</v>
      </c>
      <c r="F172" t="s">
        <v>246</v>
      </c>
      <c r="G172">
        <v>7174</v>
      </c>
      <c r="H172">
        <v>293</v>
      </c>
      <c r="I172">
        <v>5</v>
      </c>
      <c r="J172">
        <v>13</v>
      </c>
      <c r="K172">
        <v>69</v>
      </c>
    </row>
    <row r="173" spans="1:11" ht="14.4" x14ac:dyDescent="0.3">
      <c r="A173" t="s">
        <v>387</v>
      </c>
      <c r="B173" s="23">
        <v>46102.916666666701</v>
      </c>
      <c r="C173" t="s">
        <v>84</v>
      </c>
      <c r="D173" t="s">
        <v>97</v>
      </c>
      <c r="E173" t="s">
        <v>88</v>
      </c>
      <c r="F173" t="s">
        <v>388</v>
      </c>
      <c r="G173">
        <v>6315</v>
      </c>
      <c r="H173">
        <v>534</v>
      </c>
      <c r="I173">
        <v>17</v>
      </c>
      <c r="J173">
        <v>68</v>
      </c>
      <c r="K173">
        <v>6</v>
      </c>
    </row>
    <row r="174" spans="1:11" ht="14.4" x14ac:dyDescent="0.3">
      <c r="A174" t="s">
        <v>389</v>
      </c>
      <c r="B174" s="23">
        <v>45942.041666666701</v>
      </c>
      <c r="C174" t="s">
        <v>79</v>
      </c>
      <c r="D174" t="s">
        <v>85</v>
      </c>
      <c r="E174" t="s">
        <v>115</v>
      </c>
      <c r="F174" t="s">
        <v>390</v>
      </c>
      <c r="G174">
        <v>9693</v>
      </c>
      <c r="H174">
        <v>516</v>
      </c>
      <c r="I174">
        <v>50</v>
      </c>
      <c r="J174">
        <v>64</v>
      </c>
      <c r="K174">
        <v>20</v>
      </c>
    </row>
    <row r="175" spans="1:11" ht="14.4" x14ac:dyDescent="0.3">
      <c r="A175" t="s">
        <v>391</v>
      </c>
      <c r="B175" s="23">
        <v>45761.916666666701</v>
      </c>
      <c r="C175" t="s">
        <v>79</v>
      </c>
      <c r="D175" t="s">
        <v>85</v>
      </c>
      <c r="E175" t="s">
        <v>115</v>
      </c>
      <c r="F175" t="s">
        <v>313</v>
      </c>
      <c r="G175">
        <v>9310</v>
      </c>
      <c r="H175">
        <v>338</v>
      </c>
      <c r="I175">
        <v>13</v>
      </c>
      <c r="J175">
        <v>30</v>
      </c>
      <c r="K175">
        <v>76</v>
      </c>
    </row>
    <row r="176" spans="1:11" ht="14.4" x14ac:dyDescent="0.3">
      <c r="A176" t="s">
        <v>392</v>
      </c>
      <c r="B176" s="23">
        <v>45994.791666666701</v>
      </c>
      <c r="C176" t="s">
        <v>74</v>
      </c>
      <c r="D176" t="s">
        <v>85</v>
      </c>
      <c r="E176" t="s">
        <v>76</v>
      </c>
      <c r="F176" t="s">
        <v>349</v>
      </c>
      <c r="G176">
        <v>6423</v>
      </c>
      <c r="H176">
        <v>453</v>
      </c>
      <c r="I176">
        <v>16</v>
      </c>
      <c r="J176">
        <v>40</v>
      </c>
      <c r="K176">
        <v>52</v>
      </c>
    </row>
    <row r="177" spans="1:11" ht="14.4" x14ac:dyDescent="0.3">
      <c r="A177" t="s">
        <v>393</v>
      </c>
      <c r="B177" s="23">
        <v>45894.375</v>
      </c>
      <c r="C177" t="s">
        <v>100</v>
      </c>
      <c r="D177" t="s">
        <v>85</v>
      </c>
      <c r="E177" t="s">
        <v>131</v>
      </c>
      <c r="F177" t="s">
        <v>77</v>
      </c>
      <c r="G177">
        <v>7198</v>
      </c>
      <c r="H177">
        <v>577</v>
      </c>
      <c r="I177">
        <v>19</v>
      </c>
      <c r="J177">
        <v>39</v>
      </c>
      <c r="K177">
        <v>56</v>
      </c>
    </row>
    <row r="178" spans="1:11" ht="14.4" x14ac:dyDescent="0.3">
      <c r="A178" t="s">
        <v>394</v>
      </c>
      <c r="B178" s="23">
        <v>45965.583333333299</v>
      </c>
      <c r="C178" t="s">
        <v>100</v>
      </c>
      <c r="D178" t="s">
        <v>75</v>
      </c>
      <c r="E178" t="s">
        <v>88</v>
      </c>
      <c r="F178" t="s">
        <v>395</v>
      </c>
      <c r="G178">
        <v>4721</v>
      </c>
      <c r="H178">
        <v>288</v>
      </c>
      <c r="I178">
        <v>23</v>
      </c>
      <c r="J178">
        <v>16</v>
      </c>
      <c r="K178">
        <v>8</v>
      </c>
    </row>
    <row r="179" spans="1:11" ht="14.4" x14ac:dyDescent="0.3">
      <c r="A179" t="s">
        <v>396</v>
      </c>
      <c r="B179" s="23">
        <v>46047.791666666701</v>
      </c>
      <c r="C179" t="s">
        <v>79</v>
      </c>
      <c r="D179" t="s">
        <v>85</v>
      </c>
      <c r="E179" t="s">
        <v>91</v>
      </c>
      <c r="F179" t="s">
        <v>397</v>
      </c>
      <c r="G179">
        <v>5710</v>
      </c>
      <c r="H179">
        <v>272</v>
      </c>
      <c r="I179">
        <v>7</v>
      </c>
      <c r="J179">
        <v>38</v>
      </c>
      <c r="K179">
        <v>8</v>
      </c>
    </row>
    <row r="180" spans="1:11" ht="14.4" x14ac:dyDescent="0.3">
      <c r="A180" t="s">
        <v>398</v>
      </c>
      <c r="B180" s="23">
        <v>45811.541666666701</v>
      </c>
      <c r="C180" t="s">
        <v>74</v>
      </c>
      <c r="D180" t="s">
        <v>85</v>
      </c>
      <c r="E180" t="s">
        <v>76</v>
      </c>
      <c r="F180" t="s">
        <v>227</v>
      </c>
      <c r="G180">
        <v>4873</v>
      </c>
      <c r="H180">
        <v>274</v>
      </c>
      <c r="I180">
        <v>13</v>
      </c>
      <c r="J180">
        <v>32</v>
      </c>
      <c r="K180">
        <v>38</v>
      </c>
    </row>
    <row r="181" spans="1:11" ht="14.4" x14ac:dyDescent="0.3">
      <c r="A181" t="s">
        <v>399</v>
      </c>
      <c r="B181" s="23">
        <v>45826.791666666701</v>
      </c>
      <c r="C181" t="s">
        <v>79</v>
      </c>
      <c r="D181" t="s">
        <v>80</v>
      </c>
      <c r="E181" t="s">
        <v>115</v>
      </c>
      <c r="F181" t="s">
        <v>400</v>
      </c>
      <c r="G181">
        <v>13316</v>
      </c>
      <c r="H181">
        <v>825</v>
      </c>
      <c r="I181">
        <v>77</v>
      </c>
      <c r="J181">
        <v>80</v>
      </c>
      <c r="K181">
        <v>71</v>
      </c>
    </row>
    <row r="182" spans="1:11" ht="14.4" x14ac:dyDescent="0.3">
      <c r="A182" t="s">
        <v>401</v>
      </c>
      <c r="B182" s="23">
        <v>45845.916666666701</v>
      </c>
      <c r="C182" t="s">
        <v>74</v>
      </c>
      <c r="D182" t="s">
        <v>80</v>
      </c>
      <c r="E182" t="s">
        <v>115</v>
      </c>
      <c r="F182" t="s">
        <v>107</v>
      </c>
      <c r="G182">
        <v>44646</v>
      </c>
      <c r="H182">
        <v>3476</v>
      </c>
      <c r="I182">
        <v>71</v>
      </c>
      <c r="J182">
        <v>368</v>
      </c>
      <c r="K182">
        <v>317</v>
      </c>
    </row>
    <row r="183" spans="1:11" ht="14.4" x14ac:dyDescent="0.3">
      <c r="A183" t="s">
        <v>402</v>
      </c>
      <c r="B183" s="23">
        <v>45761.208333333299</v>
      </c>
      <c r="C183" t="s">
        <v>84</v>
      </c>
      <c r="D183" t="s">
        <v>85</v>
      </c>
      <c r="E183" t="s">
        <v>81</v>
      </c>
      <c r="F183" t="s">
        <v>403</v>
      </c>
      <c r="G183">
        <v>4611</v>
      </c>
      <c r="H183">
        <v>162</v>
      </c>
      <c r="I183">
        <v>15</v>
      </c>
      <c r="J183">
        <v>1</v>
      </c>
      <c r="K183">
        <v>14</v>
      </c>
    </row>
    <row r="184" spans="1:11" ht="14.4" x14ac:dyDescent="0.3">
      <c r="A184" t="s">
        <v>404</v>
      </c>
      <c r="B184" s="23">
        <v>46078.166666666701</v>
      </c>
      <c r="C184" t="s">
        <v>100</v>
      </c>
      <c r="D184" t="s">
        <v>75</v>
      </c>
      <c r="E184" t="s">
        <v>94</v>
      </c>
      <c r="F184" t="s">
        <v>154</v>
      </c>
      <c r="G184">
        <v>16532</v>
      </c>
      <c r="H184">
        <v>1330</v>
      </c>
      <c r="I184">
        <v>106</v>
      </c>
      <c r="J184">
        <v>177</v>
      </c>
      <c r="K184">
        <v>23</v>
      </c>
    </row>
    <row r="185" spans="1:11" ht="14.4" x14ac:dyDescent="0.3">
      <c r="A185" t="s">
        <v>405</v>
      </c>
      <c r="B185" s="23">
        <v>46003.833333333299</v>
      </c>
      <c r="C185" t="s">
        <v>74</v>
      </c>
      <c r="D185" t="s">
        <v>97</v>
      </c>
      <c r="E185" t="s">
        <v>76</v>
      </c>
      <c r="F185" t="s">
        <v>406</v>
      </c>
      <c r="G185">
        <v>3935</v>
      </c>
      <c r="H185">
        <v>292</v>
      </c>
      <c r="I185">
        <v>6</v>
      </c>
      <c r="J185">
        <v>4</v>
      </c>
      <c r="K185">
        <v>4</v>
      </c>
    </row>
    <row r="186" spans="1:11" ht="14.4" x14ac:dyDescent="0.3">
      <c r="A186" t="s">
        <v>407</v>
      </c>
      <c r="B186" s="23">
        <v>45752.666666666701</v>
      </c>
      <c r="C186" t="s">
        <v>74</v>
      </c>
      <c r="D186" t="s">
        <v>85</v>
      </c>
      <c r="E186" t="s">
        <v>81</v>
      </c>
      <c r="F186" t="s">
        <v>253</v>
      </c>
      <c r="G186">
        <v>5553</v>
      </c>
      <c r="H186">
        <v>457</v>
      </c>
      <c r="I186">
        <v>31</v>
      </c>
      <c r="J186">
        <v>25</v>
      </c>
      <c r="K186">
        <v>21</v>
      </c>
    </row>
    <row r="187" spans="1:11" ht="14.4" x14ac:dyDescent="0.3">
      <c r="A187" t="s">
        <v>408</v>
      </c>
      <c r="B187" s="23">
        <v>45983.708333333299</v>
      </c>
      <c r="C187" t="s">
        <v>74</v>
      </c>
      <c r="D187" t="s">
        <v>85</v>
      </c>
      <c r="E187" t="s">
        <v>111</v>
      </c>
      <c r="F187" t="s">
        <v>409</v>
      </c>
      <c r="G187">
        <v>12500</v>
      </c>
      <c r="H187">
        <v>1040</v>
      </c>
      <c r="I187">
        <v>67</v>
      </c>
      <c r="J187">
        <v>106</v>
      </c>
      <c r="K187">
        <v>55</v>
      </c>
    </row>
    <row r="188" spans="1:11" ht="14.4" x14ac:dyDescent="0.3">
      <c r="A188" t="s">
        <v>410</v>
      </c>
      <c r="B188" s="23">
        <v>45816.208333333299</v>
      </c>
      <c r="C188" t="s">
        <v>79</v>
      </c>
      <c r="D188" t="s">
        <v>75</v>
      </c>
      <c r="E188" t="s">
        <v>115</v>
      </c>
      <c r="F188" t="s">
        <v>323</v>
      </c>
      <c r="G188">
        <v>5699</v>
      </c>
      <c r="H188">
        <v>489</v>
      </c>
      <c r="I188">
        <v>29</v>
      </c>
      <c r="J188">
        <v>46</v>
      </c>
      <c r="K188">
        <v>7</v>
      </c>
    </row>
    <row r="189" spans="1:11" ht="14.4" x14ac:dyDescent="0.3">
      <c r="A189" t="s">
        <v>411</v>
      </c>
      <c r="B189" s="23">
        <v>45890.5</v>
      </c>
      <c r="C189" t="s">
        <v>100</v>
      </c>
      <c r="D189" t="s">
        <v>80</v>
      </c>
      <c r="E189" t="s">
        <v>115</v>
      </c>
      <c r="F189" t="s">
        <v>246</v>
      </c>
      <c r="G189">
        <v>13043</v>
      </c>
      <c r="H189">
        <v>1144</v>
      </c>
      <c r="I189">
        <v>107</v>
      </c>
      <c r="J189">
        <v>23</v>
      </c>
      <c r="K189">
        <v>61</v>
      </c>
    </row>
    <row r="190" spans="1:11" ht="14.4" x14ac:dyDescent="0.3">
      <c r="A190" t="s">
        <v>412</v>
      </c>
      <c r="B190" s="23">
        <v>46010.333333333299</v>
      </c>
      <c r="C190" t="s">
        <v>84</v>
      </c>
      <c r="D190" t="s">
        <v>85</v>
      </c>
      <c r="E190" t="s">
        <v>115</v>
      </c>
      <c r="F190" t="s">
        <v>178</v>
      </c>
      <c r="G190">
        <v>18392</v>
      </c>
      <c r="H190">
        <v>585</v>
      </c>
      <c r="I190">
        <v>54</v>
      </c>
      <c r="J190">
        <v>46</v>
      </c>
      <c r="K190">
        <v>36</v>
      </c>
    </row>
    <row r="191" spans="1:11" ht="14.4" x14ac:dyDescent="0.3">
      <c r="A191" t="s">
        <v>413</v>
      </c>
      <c r="B191" s="23">
        <v>46048.5</v>
      </c>
      <c r="C191" t="s">
        <v>79</v>
      </c>
      <c r="D191" t="s">
        <v>80</v>
      </c>
      <c r="E191" t="s">
        <v>115</v>
      </c>
      <c r="F191" t="s">
        <v>261</v>
      </c>
      <c r="G191">
        <v>15566</v>
      </c>
      <c r="H191">
        <v>1245</v>
      </c>
      <c r="I191">
        <v>70</v>
      </c>
      <c r="J191">
        <v>135</v>
      </c>
      <c r="K191">
        <v>90</v>
      </c>
    </row>
    <row r="192" spans="1:11" ht="14.4" x14ac:dyDescent="0.3">
      <c r="A192" t="s">
        <v>414</v>
      </c>
      <c r="B192" s="23">
        <v>45912.583333333299</v>
      </c>
      <c r="C192" t="s">
        <v>79</v>
      </c>
      <c r="D192" t="s">
        <v>80</v>
      </c>
      <c r="E192" t="s">
        <v>76</v>
      </c>
      <c r="F192" t="s">
        <v>415</v>
      </c>
      <c r="G192">
        <v>21447</v>
      </c>
      <c r="H192">
        <v>1116</v>
      </c>
      <c r="I192">
        <v>100</v>
      </c>
      <c r="J192">
        <v>133</v>
      </c>
      <c r="K192">
        <v>71</v>
      </c>
    </row>
    <row r="193" spans="1:11" ht="14.4" x14ac:dyDescent="0.3">
      <c r="A193" t="s">
        <v>416</v>
      </c>
      <c r="B193" s="23">
        <v>45801.125</v>
      </c>
      <c r="C193" t="s">
        <v>74</v>
      </c>
      <c r="D193" t="s">
        <v>85</v>
      </c>
      <c r="E193" t="s">
        <v>76</v>
      </c>
      <c r="F193" t="s">
        <v>417</v>
      </c>
      <c r="G193">
        <v>27276</v>
      </c>
      <c r="H193">
        <v>1744</v>
      </c>
      <c r="I193">
        <v>123</v>
      </c>
      <c r="J193">
        <v>84</v>
      </c>
      <c r="K193">
        <v>110</v>
      </c>
    </row>
    <row r="194" spans="1:11" ht="14.4" x14ac:dyDescent="0.3">
      <c r="A194" t="s">
        <v>418</v>
      </c>
      <c r="B194" s="23">
        <v>45840.666666666701</v>
      </c>
      <c r="C194" t="s">
        <v>84</v>
      </c>
      <c r="D194" t="s">
        <v>80</v>
      </c>
      <c r="E194" t="s">
        <v>88</v>
      </c>
      <c r="F194" t="s">
        <v>419</v>
      </c>
      <c r="G194">
        <v>6164</v>
      </c>
      <c r="H194">
        <v>304</v>
      </c>
      <c r="I194">
        <v>27</v>
      </c>
      <c r="J194">
        <v>5</v>
      </c>
      <c r="K194">
        <v>16</v>
      </c>
    </row>
    <row r="195" spans="1:11" ht="14.4" x14ac:dyDescent="0.3">
      <c r="A195" t="s">
        <v>420</v>
      </c>
      <c r="B195" s="23">
        <v>45923.875</v>
      </c>
      <c r="C195" t="s">
        <v>74</v>
      </c>
      <c r="D195" t="s">
        <v>75</v>
      </c>
      <c r="E195" t="s">
        <v>131</v>
      </c>
      <c r="F195" t="s">
        <v>160</v>
      </c>
      <c r="G195">
        <v>22562</v>
      </c>
      <c r="H195">
        <v>732</v>
      </c>
      <c r="I195">
        <v>37</v>
      </c>
      <c r="J195">
        <v>61</v>
      </c>
      <c r="K195">
        <v>168</v>
      </c>
    </row>
    <row r="196" spans="1:11" ht="14.4" x14ac:dyDescent="0.3">
      <c r="A196" t="s">
        <v>421</v>
      </c>
      <c r="B196" s="23">
        <v>45777.5</v>
      </c>
      <c r="C196" t="s">
        <v>100</v>
      </c>
      <c r="D196" t="s">
        <v>75</v>
      </c>
      <c r="E196" t="s">
        <v>88</v>
      </c>
      <c r="F196" t="s">
        <v>124</v>
      </c>
      <c r="G196">
        <v>10743</v>
      </c>
      <c r="H196">
        <v>776</v>
      </c>
      <c r="I196">
        <v>50</v>
      </c>
      <c r="J196">
        <v>89</v>
      </c>
      <c r="K196">
        <v>94</v>
      </c>
    </row>
    <row r="197" spans="1:11" ht="14.4" x14ac:dyDescent="0.3">
      <c r="A197" t="s">
        <v>422</v>
      </c>
      <c r="B197" s="23">
        <v>45927.666666666701</v>
      </c>
      <c r="C197" t="s">
        <v>74</v>
      </c>
      <c r="D197" t="s">
        <v>80</v>
      </c>
      <c r="E197" t="s">
        <v>76</v>
      </c>
      <c r="F197" t="s">
        <v>326</v>
      </c>
      <c r="G197">
        <v>25779</v>
      </c>
      <c r="H197">
        <v>875</v>
      </c>
      <c r="I197">
        <v>35</v>
      </c>
      <c r="J197">
        <v>85</v>
      </c>
      <c r="K197">
        <v>202</v>
      </c>
    </row>
    <row r="198" spans="1:11" ht="14.4" x14ac:dyDescent="0.3">
      <c r="A198" t="s">
        <v>423</v>
      </c>
      <c r="B198" s="23">
        <v>45808.333333333299</v>
      </c>
      <c r="C198" t="s">
        <v>74</v>
      </c>
      <c r="D198" t="s">
        <v>80</v>
      </c>
      <c r="E198" t="s">
        <v>81</v>
      </c>
      <c r="F198" t="s">
        <v>424</v>
      </c>
      <c r="G198">
        <v>16447</v>
      </c>
      <c r="H198">
        <v>909</v>
      </c>
      <c r="I198">
        <v>83</v>
      </c>
      <c r="J198">
        <v>49</v>
      </c>
      <c r="K198">
        <v>102</v>
      </c>
    </row>
    <row r="199" spans="1:11" ht="14.4" x14ac:dyDescent="0.3">
      <c r="A199" t="s">
        <v>425</v>
      </c>
      <c r="B199" s="23">
        <v>45975.916666666701</v>
      </c>
      <c r="C199" t="s">
        <v>79</v>
      </c>
      <c r="D199" t="s">
        <v>85</v>
      </c>
      <c r="E199" t="s">
        <v>81</v>
      </c>
      <c r="F199" t="s">
        <v>426</v>
      </c>
      <c r="G199">
        <v>6083</v>
      </c>
      <c r="H199">
        <v>469</v>
      </c>
      <c r="I199">
        <v>42</v>
      </c>
      <c r="J199">
        <v>14</v>
      </c>
      <c r="K199">
        <v>54</v>
      </c>
    </row>
    <row r="200" spans="1:11" ht="14.4" x14ac:dyDescent="0.3">
      <c r="A200" t="s">
        <v>427</v>
      </c>
      <c r="B200" s="23">
        <v>46080.458333333299</v>
      </c>
      <c r="C200" t="s">
        <v>100</v>
      </c>
      <c r="D200" t="s">
        <v>75</v>
      </c>
      <c r="E200" t="s">
        <v>76</v>
      </c>
      <c r="F200" t="s">
        <v>428</v>
      </c>
      <c r="G200">
        <v>5475</v>
      </c>
      <c r="H200">
        <v>490</v>
      </c>
      <c r="I200">
        <v>18</v>
      </c>
      <c r="J200">
        <v>41</v>
      </c>
      <c r="K200">
        <v>24</v>
      </c>
    </row>
    <row r="201" spans="1:11" ht="14.4" x14ac:dyDescent="0.3">
      <c r="A201" t="s">
        <v>429</v>
      </c>
      <c r="B201" s="23">
        <v>45858.208333333299</v>
      </c>
      <c r="C201" t="s">
        <v>74</v>
      </c>
      <c r="D201" t="s">
        <v>85</v>
      </c>
      <c r="E201" t="s">
        <v>91</v>
      </c>
      <c r="F201" t="s">
        <v>430</v>
      </c>
      <c r="G201">
        <v>12469</v>
      </c>
      <c r="H201">
        <v>914</v>
      </c>
      <c r="I201">
        <v>85</v>
      </c>
      <c r="J201">
        <v>91</v>
      </c>
      <c r="K201">
        <v>121</v>
      </c>
    </row>
    <row r="202" spans="1:11" ht="14.4" x14ac:dyDescent="0.3">
      <c r="A202" t="s">
        <v>431</v>
      </c>
      <c r="B202" s="23">
        <v>45762.291666666701</v>
      </c>
      <c r="C202" t="s">
        <v>74</v>
      </c>
      <c r="D202" t="s">
        <v>85</v>
      </c>
      <c r="E202" t="s">
        <v>115</v>
      </c>
      <c r="F202" t="s">
        <v>190</v>
      </c>
      <c r="G202">
        <v>8328</v>
      </c>
      <c r="H202">
        <v>504</v>
      </c>
      <c r="I202">
        <v>24</v>
      </c>
      <c r="J202">
        <v>61</v>
      </c>
      <c r="K202">
        <v>57</v>
      </c>
    </row>
    <row r="203" spans="1:11" ht="14.4" x14ac:dyDescent="0.3">
      <c r="A203" t="s">
        <v>432</v>
      </c>
      <c r="B203" s="23">
        <v>45858.875</v>
      </c>
      <c r="C203" t="s">
        <v>74</v>
      </c>
      <c r="D203" t="s">
        <v>128</v>
      </c>
      <c r="E203" t="s">
        <v>81</v>
      </c>
      <c r="F203" t="s">
        <v>433</v>
      </c>
      <c r="G203">
        <v>17565</v>
      </c>
      <c r="H203">
        <v>537</v>
      </c>
      <c r="I203">
        <v>31</v>
      </c>
      <c r="J203">
        <v>62</v>
      </c>
      <c r="K203">
        <v>102</v>
      </c>
    </row>
    <row r="204" spans="1:11" ht="14.4" x14ac:dyDescent="0.3">
      <c r="A204" t="s">
        <v>434</v>
      </c>
      <c r="B204" s="23">
        <v>45883.916666666701</v>
      </c>
      <c r="C204" t="s">
        <v>74</v>
      </c>
      <c r="D204" t="s">
        <v>75</v>
      </c>
      <c r="E204" t="s">
        <v>76</v>
      </c>
      <c r="F204" t="s">
        <v>129</v>
      </c>
      <c r="G204">
        <v>13023</v>
      </c>
      <c r="H204">
        <v>611</v>
      </c>
      <c r="I204">
        <v>31</v>
      </c>
      <c r="J204">
        <v>34</v>
      </c>
      <c r="K204">
        <v>43</v>
      </c>
    </row>
    <row r="205" spans="1:11" ht="14.4" x14ac:dyDescent="0.3">
      <c r="A205" t="s">
        <v>435</v>
      </c>
      <c r="B205" s="23">
        <v>45932.416666666701</v>
      </c>
      <c r="C205" t="s">
        <v>74</v>
      </c>
      <c r="D205" t="s">
        <v>80</v>
      </c>
      <c r="E205" t="s">
        <v>91</v>
      </c>
      <c r="F205" t="s">
        <v>436</v>
      </c>
      <c r="G205">
        <v>9065</v>
      </c>
      <c r="H205">
        <v>286</v>
      </c>
      <c r="I205">
        <v>15</v>
      </c>
      <c r="J205">
        <v>7</v>
      </c>
      <c r="K205">
        <v>52</v>
      </c>
    </row>
    <row r="206" spans="1:11" ht="14.4" x14ac:dyDescent="0.3">
      <c r="A206" t="s">
        <v>437</v>
      </c>
      <c r="B206" s="23">
        <v>45864.291666666701</v>
      </c>
      <c r="C206" t="s">
        <v>100</v>
      </c>
      <c r="D206" t="s">
        <v>128</v>
      </c>
      <c r="E206" t="s">
        <v>94</v>
      </c>
      <c r="F206" t="s">
        <v>438</v>
      </c>
      <c r="G206">
        <v>11977</v>
      </c>
      <c r="H206">
        <v>670</v>
      </c>
      <c r="I206">
        <v>38</v>
      </c>
      <c r="J206">
        <v>80</v>
      </c>
      <c r="K206">
        <v>62</v>
      </c>
    </row>
    <row r="207" spans="1:11" ht="14.4" x14ac:dyDescent="0.3">
      <c r="A207" t="s">
        <v>439</v>
      </c>
      <c r="B207" s="23">
        <v>45781.125</v>
      </c>
      <c r="C207" t="s">
        <v>74</v>
      </c>
      <c r="D207" t="s">
        <v>75</v>
      </c>
      <c r="E207" t="s">
        <v>91</v>
      </c>
      <c r="F207" t="s">
        <v>335</v>
      </c>
      <c r="G207">
        <v>4923</v>
      </c>
      <c r="H207">
        <v>270</v>
      </c>
      <c r="I207">
        <v>8</v>
      </c>
      <c r="J207">
        <v>19</v>
      </c>
      <c r="K207">
        <v>9</v>
      </c>
    </row>
    <row r="208" spans="1:11" ht="14.4" x14ac:dyDescent="0.3">
      <c r="A208" t="s">
        <v>440</v>
      </c>
      <c r="B208" s="23">
        <v>45960.958333333299</v>
      </c>
      <c r="C208" t="s">
        <v>84</v>
      </c>
      <c r="D208" t="s">
        <v>128</v>
      </c>
      <c r="E208" t="s">
        <v>111</v>
      </c>
      <c r="F208" t="s">
        <v>441</v>
      </c>
      <c r="G208">
        <v>10772</v>
      </c>
      <c r="H208">
        <v>958</v>
      </c>
      <c r="I208">
        <v>83</v>
      </c>
      <c r="J208">
        <v>39</v>
      </c>
      <c r="K208">
        <v>15</v>
      </c>
    </row>
    <row r="209" spans="1:11" ht="14.4" x14ac:dyDescent="0.3">
      <c r="A209" t="s">
        <v>442</v>
      </c>
      <c r="B209" s="23">
        <v>45872.083333333299</v>
      </c>
      <c r="C209" t="s">
        <v>79</v>
      </c>
      <c r="D209" t="s">
        <v>75</v>
      </c>
      <c r="E209" t="s">
        <v>91</v>
      </c>
      <c r="F209" t="s">
        <v>195</v>
      </c>
      <c r="G209">
        <v>6370</v>
      </c>
      <c r="H209">
        <v>355</v>
      </c>
      <c r="I209">
        <v>33</v>
      </c>
      <c r="J209">
        <v>46</v>
      </c>
      <c r="K209">
        <v>27</v>
      </c>
    </row>
    <row r="210" spans="1:11" ht="14.4" x14ac:dyDescent="0.3">
      <c r="A210" t="s">
        <v>443</v>
      </c>
      <c r="B210" s="23">
        <v>46098.166666666701</v>
      </c>
      <c r="C210" t="s">
        <v>74</v>
      </c>
      <c r="D210" t="s">
        <v>80</v>
      </c>
      <c r="E210" t="s">
        <v>88</v>
      </c>
      <c r="F210" t="s">
        <v>86</v>
      </c>
      <c r="G210">
        <v>25492</v>
      </c>
      <c r="H210">
        <v>1820</v>
      </c>
      <c r="I210">
        <v>124</v>
      </c>
      <c r="J210">
        <v>51</v>
      </c>
      <c r="K210">
        <v>165</v>
      </c>
    </row>
    <row r="211" spans="1:11" ht="14.4" x14ac:dyDescent="0.3">
      <c r="A211" t="s">
        <v>444</v>
      </c>
      <c r="B211" s="23">
        <v>45863.875</v>
      </c>
      <c r="C211" t="s">
        <v>84</v>
      </c>
      <c r="D211" t="s">
        <v>80</v>
      </c>
      <c r="E211" t="s">
        <v>88</v>
      </c>
      <c r="F211" t="s">
        <v>445</v>
      </c>
      <c r="G211">
        <v>34082</v>
      </c>
      <c r="H211">
        <v>1928</v>
      </c>
      <c r="I211">
        <v>170</v>
      </c>
      <c r="J211">
        <v>166</v>
      </c>
      <c r="K211">
        <v>100</v>
      </c>
    </row>
    <row r="212" spans="1:11" ht="14.4" x14ac:dyDescent="0.3">
      <c r="A212" t="s">
        <v>446</v>
      </c>
      <c r="B212" s="23">
        <v>46029.75</v>
      </c>
      <c r="C212" t="s">
        <v>84</v>
      </c>
      <c r="D212" t="s">
        <v>80</v>
      </c>
      <c r="E212" t="s">
        <v>115</v>
      </c>
      <c r="F212" t="s">
        <v>447</v>
      </c>
      <c r="G212">
        <v>23891</v>
      </c>
      <c r="H212">
        <v>1746</v>
      </c>
      <c r="I212">
        <v>112</v>
      </c>
      <c r="J212">
        <v>107</v>
      </c>
      <c r="K212">
        <v>191</v>
      </c>
    </row>
    <row r="213" spans="1:11" ht="14.4" x14ac:dyDescent="0.3">
      <c r="A213" t="s">
        <v>448</v>
      </c>
      <c r="B213" s="23">
        <v>45777.458333333299</v>
      </c>
      <c r="C213" t="s">
        <v>74</v>
      </c>
      <c r="D213" t="s">
        <v>97</v>
      </c>
      <c r="E213" t="s">
        <v>81</v>
      </c>
      <c r="F213" t="s">
        <v>201</v>
      </c>
      <c r="G213">
        <v>6801</v>
      </c>
      <c r="H213">
        <v>527</v>
      </c>
      <c r="I213">
        <v>47</v>
      </c>
      <c r="J213">
        <v>9</v>
      </c>
      <c r="K213">
        <v>59</v>
      </c>
    </row>
    <row r="214" spans="1:11" ht="14.4" x14ac:dyDescent="0.3">
      <c r="A214" t="s">
        <v>449</v>
      </c>
      <c r="B214" s="23">
        <v>45793.666666666701</v>
      </c>
      <c r="C214" t="s">
        <v>74</v>
      </c>
      <c r="D214" t="s">
        <v>85</v>
      </c>
      <c r="E214" t="s">
        <v>91</v>
      </c>
      <c r="F214" t="s">
        <v>343</v>
      </c>
      <c r="G214">
        <v>7778</v>
      </c>
      <c r="H214">
        <v>532</v>
      </c>
      <c r="I214">
        <v>34</v>
      </c>
      <c r="J214">
        <v>15</v>
      </c>
      <c r="K214">
        <v>11</v>
      </c>
    </row>
    <row r="215" spans="1:11" ht="14.4" x14ac:dyDescent="0.3">
      <c r="A215" t="s">
        <v>450</v>
      </c>
      <c r="B215" s="23">
        <v>45894.75</v>
      </c>
      <c r="C215" t="s">
        <v>100</v>
      </c>
      <c r="D215" t="s">
        <v>75</v>
      </c>
      <c r="E215" t="s">
        <v>111</v>
      </c>
      <c r="F215" t="s">
        <v>451</v>
      </c>
      <c r="G215">
        <v>52152</v>
      </c>
      <c r="H215">
        <v>2229</v>
      </c>
      <c r="I215">
        <v>93</v>
      </c>
      <c r="J215">
        <v>22</v>
      </c>
      <c r="K215">
        <v>106</v>
      </c>
    </row>
    <row r="216" spans="1:11" ht="14.4" x14ac:dyDescent="0.3">
      <c r="A216" t="s">
        <v>452</v>
      </c>
      <c r="B216" s="23">
        <v>45960.541666666701</v>
      </c>
      <c r="C216" t="s">
        <v>84</v>
      </c>
      <c r="D216" t="s">
        <v>75</v>
      </c>
      <c r="E216" t="s">
        <v>88</v>
      </c>
      <c r="F216" t="s">
        <v>188</v>
      </c>
      <c r="G216">
        <v>9238</v>
      </c>
      <c r="H216">
        <v>407</v>
      </c>
      <c r="I216">
        <v>22</v>
      </c>
      <c r="J216">
        <v>26</v>
      </c>
      <c r="K216">
        <v>29</v>
      </c>
    </row>
    <row r="217" spans="1:11" ht="14.4" x14ac:dyDescent="0.3">
      <c r="A217" t="s">
        <v>453</v>
      </c>
      <c r="B217" s="23">
        <v>45913.166666666701</v>
      </c>
      <c r="C217" t="s">
        <v>79</v>
      </c>
      <c r="D217" t="s">
        <v>85</v>
      </c>
      <c r="E217" t="s">
        <v>88</v>
      </c>
      <c r="F217" t="s">
        <v>454</v>
      </c>
      <c r="G217">
        <v>6089</v>
      </c>
      <c r="H217">
        <v>244</v>
      </c>
      <c r="I217">
        <v>21</v>
      </c>
      <c r="J217">
        <v>19</v>
      </c>
      <c r="K217">
        <v>23</v>
      </c>
    </row>
    <row r="218" spans="1:11" ht="14.4" x14ac:dyDescent="0.3">
      <c r="A218" t="s">
        <v>455</v>
      </c>
      <c r="B218" s="23">
        <v>45936.541666666701</v>
      </c>
      <c r="C218" t="s">
        <v>74</v>
      </c>
      <c r="D218" t="s">
        <v>128</v>
      </c>
      <c r="E218" t="s">
        <v>94</v>
      </c>
      <c r="F218" t="s">
        <v>456</v>
      </c>
      <c r="G218">
        <v>24204</v>
      </c>
      <c r="H218">
        <v>1661</v>
      </c>
      <c r="I218">
        <v>89</v>
      </c>
      <c r="J218">
        <v>90</v>
      </c>
      <c r="K218">
        <v>199</v>
      </c>
    </row>
    <row r="219" spans="1:11" ht="14.4" x14ac:dyDescent="0.3">
      <c r="A219" t="s">
        <v>457</v>
      </c>
      <c r="B219" s="23">
        <v>46024.666666666701</v>
      </c>
      <c r="C219" t="s">
        <v>100</v>
      </c>
      <c r="D219" t="s">
        <v>128</v>
      </c>
      <c r="E219" t="s">
        <v>131</v>
      </c>
      <c r="F219" t="s">
        <v>458</v>
      </c>
      <c r="G219">
        <v>11630</v>
      </c>
      <c r="H219">
        <v>715</v>
      </c>
      <c r="I219">
        <v>14</v>
      </c>
      <c r="J219">
        <v>31</v>
      </c>
      <c r="K219">
        <v>25</v>
      </c>
    </row>
    <row r="220" spans="1:11" ht="14.4" x14ac:dyDescent="0.3">
      <c r="A220" t="s">
        <v>459</v>
      </c>
      <c r="B220" s="23">
        <v>45916.916666666701</v>
      </c>
      <c r="C220" t="s">
        <v>79</v>
      </c>
      <c r="D220" t="s">
        <v>97</v>
      </c>
      <c r="E220" t="s">
        <v>81</v>
      </c>
      <c r="F220" t="s">
        <v>259</v>
      </c>
      <c r="G220">
        <v>4024</v>
      </c>
      <c r="H220">
        <v>220</v>
      </c>
      <c r="I220">
        <v>14</v>
      </c>
      <c r="J220">
        <v>29</v>
      </c>
      <c r="K220">
        <v>34</v>
      </c>
    </row>
    <row r="221" spans="1:11" ht="14.4" x14ac:dyDescent="0.3">
      <c r="A221" t="s">
        <v>460</v>
      </c>
      <c r="B221" s="23">
        <v>45834.708333333299</v>
      </c>
      <c r="C221" t="s">
        <v>100</v>
      </c>
      <c r="D221" t="s">
        <v>80</v>
      </c>
      <c r="E221" t="s">
        <v>88</v>
      </c>
      <c r="F221" t="s">
        <v>461</v>
      </c>
      <c r="G221">
        <v>24394</v>
      </c>
      <c r="H221">
        <v>1916</v>
      </c>
      <c r="I221">
        <v>173</v>
      </c>
      <c r="J221">
        <v>227</v>
      </c>
      <c r="K221">
        <v>185</v>
      </c>
    </row>
    <row r="222" spans="1:11" ht="14.4" x14ac:dyDescent="0.3">
      <c r="A222" t="s">
        <v>462</v>
      </c>
      <c r="B222" s="23">
        <v>45842.458333333299</v>
      </c>
      <c r="C222" t="s">
        <v>84</v>
      </c>
      <c r="D222" t="s">
        <v>80</v>
      </c>
      <c r="E222" t="s">
        <v>91</v>
      </c>
      <c r="F222" t="s">
        <v>463</v>
      </c>
      <c r="G222">
        <v>10957</v>
      </c>
      <c r="H222">
        <v>380</v>
      </c>
      <c r="I222">
        <v>10</v>
      </c>
      <c r="J222">
        <v>36</v>
      </c>
      <c r="K222">
        <v>89</v>
      </c>
    </row>
    <row r="223" spans="1:11" ht="14.4" x14ac:dyDescent="0.3">
      <c r="A223" t="s">
        <v>464</v>
      </c>
      <c r="B223" s="23">
        <v>45908.375</v>
      </c>
      <c r="C223" t="s">
        <v>79</v>
      </c>
      <c r="D223" t="s">
        <v>128</v>
      </c>
      <c r="E223" t="s">
        <v>76</v>
      </c>
      <c r="F223" t="s">
        <v>465</v>
      </c>
      <c r="G223">
        <v>1867</v>
      </c>
      <c r="H223">
        <v>102</v>
      </c>
      <c r="I223">
        <v>3</v>
      </c>
      <c r="J223">
        <v>13</v>
      </c>
      <c r="K223">
        <v>5</v>
      </c>
    </row>
    <row r="224" spans="1:11" ht="14.4" x14ac:dyDescent="0.3">
      <c r="A224" t="s">
        <v>466</v>
      </c>
      <c r="B224" s="23">
        <v>45845.5</v>
      </c>
      <c r="C224" t="s">
        <v>79</v>
      </c>
      <c r="D224" t="s">
        <v>80</v>
      </c>
      <c r="E224" t="s">
        <v>94</v>
      </c>
      <c r="F224" t="s">
        <v>467</v>
      </c>
      <c r="G224">
        <v>15973</v>
      </c>
      <c r="H224">
        <v>873</v>
      </c>
      <c r="I224">
        <v>23</v>
      </c>
      <c r="J224">
        <v>29</v>
      </c>
      <c r="K224">
        <v>95</v>
      </c>
    </row>
    <row r="225" spans="1:11" ht="14.4" x14ac:dyDescent="0.3">
      <c r="A225" t="s">
        <v>468</v>
      </c>
      <c r="B225" s="23">
        <v>45857.583333333299</v>
      </c>
      <c r="C225" t="s">
        <v>79</v>
      </c>
      <c r="D225" t="s">
        <v>75</v>
      </c>
      <c r="E225" t="s">
        <v>94</v>
      </c>
      <c r="F225" t="s">
        <v>188</v>
      </c>
      <c r="G225">
        <v>12482</v>
      </c>
      <c r="H225">
        <v>1104</v>
      </c>
      <c r="I225">
        <v>77</v>
      </c>
      <c r="J225">
        <v>147</v>
      </c>
      <c r="K225">
        <v>46</v>
      </c>
    </row>
    <row r="226" spans="1:11" ht="14.4" x14ac:dyDescent="0.3">
      <c r="A226" t="s">
        <v>469</v>
      </c>
      <c r="B226" s="23">
        <v>46070.083333333299</v>
      </c>
      <c r="C226" t="s">
        <v>74</v>
      </c>
      <c r="D226" t="s">
        <v>75</v>
      </c>
      <c r="E226" t="s">
        <v>115</v>
      </c>
      <c r="F226" t="s">
        <v>388</v>
      </c>
      <c r="G226">
        <v>5162</v>
      </c>
      <c r="H226">
        <v>429</v>
      </c>
      <c r="I226">
        <v>34</v>
      </c>
      <c r="J226">
        <v>23</v>
      </c>
      <c r="K226">
        <v>22</v>
      </c>
    </row>
    <row r="227" spans="1:11" ht="14.4" x14ac:dyDescent="0.3">
      <c r="A227" t="s">
        <v>470</v>
      </c>
      <c r="B227" s="23">
        <v>45819.75</v>
      </c>
      <c r="C227" t="s">
        <v>74</v>
      </c>
      <c r="D227" t="s">
        <v>128</v>
      </c>
      <c r="E227" t="s">
        <v>111</v>
      </c>
      <c r="F227" t="s">
        <v>471</v>
      </c>
      <c r="G227">
        <v>13954</v>
      </c>
      <c r="H227">
        <v>1209</v>
      </c>
      <c r="I227">
        <v>50</v>
      </c>
      <c r="J227">
        <v>43</v>
      </c>
      <c r="K227">
        <v>128</v>
      </c>
    </row>
    <row r="228" spans="1:11" ht="14.4" x14ac:dyDescent="0.3">
      <c r="A228" t="s">
        <v>472</v>
      </c>
      <c r="B228" s="23">
        <v>45896.75</v>
      </c>
      <c r="C228" t="s">
        <v>74</v>
      </c>
      <c r="D228" t="s">
        <v>85</v>
      </c>
      <c r="E228" t="s">
        <v>91</v>
      </c>
      <c r="F228" t="s">
        <v>473</v>
      </c>
      <c r="G228">
        <v>5427</v>
      </c>
      <c r="H228">
        <v>469</v>
      </c>
      <c r="I228">
        <v>10</v>
      </c>
      <c r="J228">
        <v>9</v>
      </c>
      <c r="K228">
        <v>10</v>
      </c>
    </row>
    <row r="229" spans="1:11" ht="14.4" x14ac:dyDescent="0.3">
      <c r="A229" t="s">
        <v>474</v>
      </c>
      <c r="B229" s="23">
        <v>46054.375</v>
      </c>
      <c r="C229" t="s">
        <v>74</v>
      </c>
      <c r="D229" t="s">
        <v>97</v>
      </c>
      <c r="E229" t="s">
        <v>94</v>
      </c>
      <c r="F229" t="s">
        <v>379</v>
      </c>
      <c r="G229">
        <v>3898</v>
      </c>
      <c r="H229">
        <v>127</v>
      </c>
      <c r="I229">
        <v>10</v>
      </c>
      <c r="J229">
        <v>3</v>
      </c>
      <c r="K229">
        <v>8</v>
      </c>
    </row>
    <row r="230" spans="1:11" ht="14.4" x14ac:dyDescent="0.3">
      <c r="A230" t="s">
        <v>475</v>
      </c>
      <c r="B230" s="23">
        <v>46000.583333333299</v>
      </c>
      <c r="C230" t="s">
        <v>74</v>
      </c>
      <c r="D230" t="s">
        <v>75</v>
      </c>
      <c r="E230" t="s">
        <v>88</v>
      </c>
      <c r="F230" t="s">
        <v>301</v>
      </c>
      <c r="G230">
        <v>14545</v>
      </c>
      <c r="H230">
        <v>1305</v>
      </c>
      <c r="I230">
        <v>68</v>
      </c>
      <c r="J230">
        <v>79</v>
      </c>
      <c r="K230">
        <v>27</v>
      </c>
    </row>
    <row r="231" spans="1:11" ht="14.4" x14ac:dyDescent="0.3">
      <c r="A231" t="s">
        <v>476</v>
      </c>
      <c r="B231" s="23">
        <v>45978.291666666701</v>
      </c>
      <c r="C231" t="s">
        <v>79</v>
      </c>
      <c r="D231" t="s">
        <v>80</v>
      </c>
      <c r="E231" t="s">
        <v>88</v>
      </c>
      <c r="F231" t="s">
        <v>477</v>
      </c>
      <c r="G231">
        <v>12801</v>
      </c>
      <c r="H231">
        <v>675</v>
      </c>
      <c r="I231">
        <v>37</v>
      </c>
      <c r="J231">
        <v>65</v>
      </c>
      <c r="K231">
        <v>120</v>
      </c>
    </row>
    <row r="232" spans="1:11" ht="14.4" x14ac:dyDescent="0.3">
      <c r="A232" t="s">
        <v>478</v>
      </c>
      <c r="B232" s="23">
        <v>46054.083333333299</v>
      </c>
      <c r="C232" t="s">
        <v>79</v>
      </c>
      <c r="D232" t="s">
        <v>128</v>
      </c>
      <c r="E232" t="s">
        <v>131</v>
      </c>
      <c r="F232" t="s">
        <v>479</v>
      </c>
      <c r="G232">
        <v>7357</v>
      </c>
      <c r="H232">
        <v>569</v>
      </c>
      <c r="I232">
        <v>35</v>
      </c>
      <c r="J232">
        <v>70</v>
      </c>
      <c r="K232">
        <v>18</v>
      </c>
    </row>
    <row r="233" spans="1:11" ht="14.4" x14ac:dyDescent="0.3">
      <c r="A233" t="s">
        <v>480</v>
      </c>
      <c r="B233" s="23">
        <v>45958.875</v>
      </c>
      <c r="C233" t="s">
        <v>74</v>
      </c>
      <c r="D233" t="s">
        <v>80</v>
      </c>
      <c r="E233" t="s">
        <v>88</v>
      </c>
      <c r="F233" t="s">
        <v>293</v>
      </c>
      <c r="G233">
        <v>24424</v>
      </c>
      <c r="H233">
        <v>1302</v>
      </c>
      <c r="I233">
        <v>31</v>
      </c>
      <c r="J233">
        <v>165</v>
      </c>
      <c r="K233">
        <v>48</v>
      </c>
    </row>
    <row r="234" spans="1:11" ht="14.4" x14ac:dyDescent="0.3">
      <c r="A234" t="s">
        <v>481</v>
      </c>
      <c r="B234" s="23">
        <v>45866.416666666701</v>
      </c>
      <c r="C234" t="s">
        <v>79</v>
      </c>
      <c r="D234" t="s">
        <v>85</v>
      </c>
      <c r="E234" t="s">
        <v>131</v>
      </c>
      <c r="F234" t="s">
        <v>482</v>
      </c>
      <c r="G234">
        <v>5716</v>
      </c>
      <c r="H234">
        <v>331</v>
      </c>
      <c r="I234">
        <v>14</v>
      </c>
      <c r="J234">
        <v>33</v>
      </c>
      <c r="K234">
        <v>50</v>
      </c>
    </row>
    <row r="235" spans="1:11" ht="14.4" x14ac:dyDescent="0.3">
      <c r="A235" t="s">
        <v>483</v>
      </c>
      <c r="B235" s="23">
        <v>45857.083333333299</v>
      </c>
      <c r="C235" t="s">
        <v>74</v>
      </c>
      <c r="D235" t="s">
        <v>80</v>
      </c>
      <c r="E235" t="s">
        <v>76</v>
      </c>
      <c r="F235" t="s">
        <v>417</v>
      </c>
      <c r="G235">
        <v>6718</v>
      </c>
      <c r="H235">
        <v>278</v>
      </c>
      <c r="I235">
        <v>12</v>
      </c>
      <c r="J235">
        <v>6</v>
      </c>
      <c r="K235">
        <v>51</v>
      </c>
    </row>
    <row r="236" spans="1:11" ht="14.4" x14ac:dyDescent="0.3">
      <c r="A236" t="s">
        <v>484</v>
      </c>
      <c r="B236" s="23">
        <v>46021.541666666701</v>
      </c>
      <c r="C236" t="s">
        <v>74</v>
      </c>
      <c r="D236" t="s">
        <v>128</v>
      </c>
      <c r="E236" t="s">
        <v>111</v>
      </c>
      <c r="F236" t="s">
        <v>485</v>
      </c>
      <c r="G236">
        <v>9474</v>
      </c>
      <c r="H236">
        <v>372</v>
      </c>
      <c r="I236">
        <v>34</v>
      </c>
      <c r="J236">
        <v>4</v>
      </c>
      <c r="K236">
        <v>26</v>
      </c>
    </row>
    <row r="237" spans="1:11" ht="14.4" x14ac:dyDescent="0.3">
      <c r="A237" t="s">
        <v>486</v>
      </c>
      <c r="B237" s="23">
        <v>45837.041666666701</v>
      </c>
      <c r="C237" t="s">
        <v>79</v>
      </c>
      <c r="D237" t="s">
        <v>80</v>
      </c>
      <c r="E237" t="s">
        <v>94</v>
      </c>
      <c r="F237" t="s">
        <v>428</v>
      </c>
      <c r="G237">
        <v>8354</v>
      </c>
      <c r="H237">
        <v>730</v>
      </c>
      <c r="I237">
        <v>59</v>
      </c>
      <c r="J237">
        <v>53</v>
      </c>
      <c r="K237">
        <v>40</v>
      </c>
    </row>
    <row r="238" spans="1:11" ht="14.4" x14ac:dyDescent="0.3">
      <c r="A238" t="s">
        <v>487</v>
      </c>
      <c r="B238" s="23">
        <v>45843.916666666701</v>
      </c>
      <c r="C238" t="s">
        <v>74</v>
      </c>
      <c r="D238" t="s">
        <v>97</v>
      </c>
      <c r="E238" t="s">
        <v>94</v>
      </c>
      <c r="F238" t="s">
        <v>251</v>
      </c>
      <c r="G238">
        <v>18271</v>
      </c>
      <c r="H238">
        <v>837</v>
      </c>
      <c r="I238">
        <v>46</v>
      </c>
      <c r="J238">
        <v>116</v>
      </c>
      <c r="K238">
        <v>147</v>
      </c>
    </row>
    <row r="239" spans="1:11" ht="14.4" x14ac:dyDescent="0.3">
      <c r="A239" t="s">
        <v>488</v>
      </c>
      <c r="B239" s="23">
        <v>45961.875</v>
      </c>
      <c r="C239" t="s">
        <v>74</v>
      </c>
      <c r="D239" t="s">
        <v>85</v>
      </c>
      <c r="E239" t="s">
        <v>81</v>
      </c>
      <c r="F239" t="s">
        <v>489</v>
      </c>
      <c r="G239">
        <v>6563</v>
      </c>
      <c r="H239">
        <v>321</v>
      </c>
      <c r="I239">
        <v>22</v>
      </c>
      <c r="J239">
        <v>36</v>
      </c>
      <c r="K239">
        <v>53</v>
      </c>
    </row>
    <row r="240" spans="1:11" ht="14.4" x14ac:dyDescent="0.3">
      <c r="A240" t="s">
        <v>490</v>
      </c>
      <c r="B240" s="23">
        <v>46084.708333333299</v>
      </c>
      <c r="C240" t="s">
        <v>74</v>
      </c>
      <c r="D240" t="s">
        <v>75</v>
      </c>
      <c r="E240" t="s">
        <v>94</v>
      </c>
      <c r="F240" t="s">
        <v>406</v>
      </c>
      <c r="G240">
        <v>20277</v>
      </c>
      <c r="H240">
        <v>1552</v>
      </c>
      <c r="I240">
        <v>106</v>
      </c>
      <c r="J240">
        <v>185</v>
      </c>
      <c r="K240">
        <v>47</v>
      </c>
    </row>
    <row r="241" spans="1:11" ht="14.4" x14ac:dyDescent="0.3">
      <c r="A241" t="s">
        <v>491</v>
      </c>
      <c r="B241" s="23">
        <v>46090.25</v>
      </c>
      <c r="C241" t="s">
        <v>74</v>
      </c>
      <c r="D241" t="s">
        <v>75</v>
      </c>
      <c r="E241" t="s">
        <v>91</v>
      </c>
      <c r="F241" t="s">
        <v>140</v>
      </c>
      <c r="G241">
        <v>8325</v>
      </c>
      <c r="H241">
        <v>277</v>
      </c>
      <c r="I241">
        <v>22</v>
      </c>
      <c r="J241">
        <v>24</v>
      </c>
      <c r="K241">
        <v>16</v>
      </c>
    </row>
    <row r="242" spans="1:11" ht="14.4" x14ac:dyDescent="0.3">
      <c r="A242" t="s">
        <v>492</v>
      </c>
      <c r="B242" s="23">
        <v>46009.916666666701</v>
      </c>
      <c r="C242" t="s">
        <v>74</v>
      </c>
      <c r="D242" t="s">
        <v>80</v>
      </c>
      <c r="E242" t="s">
        <v>88</v>
      </c>
      <c r="F242" t="s">
        <v>269</v>
      </c>
      <c r="G242">
        <v>33700</v>
      </c>
      <c r="H242">
        <v>2181</v>
      </c>
      <c r="I242">
        <v>69</v>
      </c>
      <c r="J242">
        <v>240</v>
      </c>
      <c r="K242">
        <v>82</v>
      </c>
    </row>
    <row r="243" spans="1:11" ht="14.4" x14ac:dyDescent="0.3">
      <c r="A243" t="s">
        <v>493</v>
      </c>
      <c r="B243" s="23">
        <v>45966.583333333299</v>
      </c>
      <c r="C243" t="s">
        <v>74</v>
      </c>
      <c r="D243" t="s">
        <v>75</v>
      </c>
      <c r="E243" t="s">
        <v>91</v>
      </c>
      <c r="F243" t="s">
        <v>494</v>
      </c>
      <c r="G243">
        <v>5686</v>
      </c>
      <c r="H243">
        <v>501</v>
      </c>
      <c r="I243">
        <v>29</v>
      </c>
      <c r="J243">
        <v>10</v>
      </c>
      <c r="K243">
        <v>17</v>
      </c>
    </row>
    <row r="244" spans="1:11" ht="14.4" x14ac:dyDescent="0.3">
      <c r="A244" t="s">
        <v>495</v>
      </c>
      <c r="B244" s="23">
        <v>45886.833333333299</v>
      </c>
      <c r="C244" t="s">
        <v>100</v>
      </c>
      <c r="D244" t="s">
        <v>75</v>
      </c>
      <c r="E244" t="s">
        <v>111</v>
      </c>
      <c r="F244" t="s">
        <v>400</v>
      </c>
      <c r="G244">
        <v>31616</v>
      </c>
      <c r="H244">
        <v>1163</v>
      </c>
      <c r="I244">
        <v>30</v>
      </c>
      <c r="J244">
        <v>22</v>
      </c>
      <c r="K244">
        <v>229</v>
      </c>
    </row>
    <row r="245" spans="1:11" ht="14.4" x14ac:dyDescent="0.3">
      <c r="A245" t="s">
        <v>496</v>
      </c>
      <c r="B245" s="23">
        <v>45932.333333333299</v>
      </c>
      <c r="C245" t="s">
        <v>79</v>
      </c>
      <c r="D245" t="s">
        <v>75</v>
      </c>
      <c r="E245" t="s">
        <v>131</v>
      </c>
      <c r="F245" t="s">
        <v>497</v>
      </c>
      <c r="G245">
        <v>5663</v>
      </c>
      <c r="H245">
        <v>332</v>
      </c>
      <c r="I245">
        <v>29</v>
      </c>
      <c r="J245">
        <v>8</v>
      </c>
      <c r="K245">
        <v>28</v>
      </c>
    </row>
    <row r="246" spans="1:11" ht="14.4" x14ac:dyDescent="0.3">
      <c r="A246" t="s">
        <v>498</v>
      </c>
      <c r="B246" s="23">
        <v>46076.875</v>
      </c>
      <c r="C246" t="s">
        <v>100</v>
      </c>
      <c r="D246" t="s">
        <v>75</v>
      </c>
      <c r="E246" t="s">
        <v>81</v>
      </c>
      <c r="F246" t="s">
        <v>499</v>
      </c>
      <c r="G246">
        <v>24616</v>
      </c>
      <c r="H246">
        <v>1117</v>
      </c>
      <c r="I246">
        <v>22</v>
      </c>
      <c r="J246">
        <v>111</v>
      </c>
      <c r="K246">
        <v>30</v>
      </c>
    </row>
    <row r="247" spans="1:11" ht="14.4" x14ac:dyDescent="0.3">
      <c r="A247" t="s">
        <v>500</v>
      </c>
      <c r="B247" s="23">
        <v>45904.375</v>
      </c>
      <c r="C247" t="s">
        <v>79</v>
      </c>
      <c r="D247" t="s">
        <v>85</v>
      </c>
      <c r="E247" t="s">
        <v>76</v>
      </c>
      <c r="F247" t="s">
        <v>86</v>
      </c>
      <c r="G247">
        <v>7680</v>
      </c>
      <c r="H247">
        <v>464</v>
      </c>
      <c r="I247">
        <v>40</v>
      </c>
      <c r="J247">
        <v>9</v>
      </c>
      <c r="K247">
        <v>43</v>
      </c>
    </row>
    <row r="248" spans="1:11" ht="14.4" x14ac:dyDescent="0.3">
      <c r="A248" t="s">
        <v>501</v>
      </c>
      <c r="B248" s="23">
        <v>45827.291666666701</v>
      </c>
      <c r="C248" t="s">
        <v>74</v>
      </c>
      <c r="D248" t="s">
        <v>85</v>
      </c>
      <c r="E248" t="s">
        <v>131</v>
      </c>
      <c r="F248" t="s">
        <v>321</v>
      </c>
      <c r="G248">
        <v>8925</v>
      </c>
      <c r="H248">
        <v>332</v>
      </c>
      <c r="I248">
        <v>8</v>
      </c>
      <c r="J248">
        <v>37</v>
      </c>
      <c r="K248">
        <v>12</v>
      </c>
    </row>
    <row r="249" spans="1:11" ht="14.4" x14ac:dyDescent="0.3">
      <c r="A249" t="s">
        <v>502</v>
      </c>
      <c r="B249" s="23">
        <v>45774.833333333299</v>
      </c>
      <c r="C249" t="s">
        <v>74</v>
      </c>
      <c r="D249" t="s">
        <v>75</v>
      </c>
      <c r="E249" t="s">
        <v>94</v>
      </c>
      <c r="F249" t="s">
        <v>82</v>
      </c>
      <c r="G249">
        <v>43282</v>
      </c>
      <c r="H249">
        <v>2361</v>
      </c>
      <c r="I249">
        <v>88</v>
      </c>
      <c r="J249">
        <v>38</v>
      </c>
      <c r="K249">
        <v>396</v>
      </c>
    </row>
    <row r="250" spans="1:11" ht="14.4" x14ac:dyDescent="0.3">
      <c r="A250" t="s">
        <v>503</v>
      </c>
      <c r="B250" s="23">
        <v>45983.583333333299</v>
      </c>
      <c r="C250" t="s">
        <v>79</v>
      </c>
      <c r="D250" t="s">
        <v>80</v>
      </c>
      <c r="E250" t="s">
        <v>76</v>
      </c>
      <c r="F250" t="s">
        <v>447</v>
      </c>
      <c r="G250">
        <v>15515</v>
      </c>
      <c r="H250">
        <v>698</v>
      </c>
      <c r="I250">
        <v>20</v>
      </c>
      <c r="J250">
        <v>9</v>
      </c>
      <c r="K250">
        <v>127</v>
      </c>
    </row>
    <row r="251" spans="1:11" ht="14.4" x14ac:dyDescent="0.3">
      <c r="A251" t="s">
        <v>504</v>
      </c>
      <c r="B251" s="23">
        <v>45978.791666666701</v>
      </c>
      <c r="C251" t="s">
        <v>74</v>
      </c>
      <c r="D251" t="s">
        <v>80</v>
      </c>
      <c r="E251" t="s">
        <v>131</v>
      </c>
      <c r="F251" t="s">
        <v>366</v>
      </c>
      <c r="G251">
        <v>9870</v>
      </c>
      <c r="H251">
        <v>387</v>
      </c>
      <c r="I251">
        <v>34</v>
      </c>
      <c r="J251">
        <v>17</v>
      </c>
      <c r="K251">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6.4" x14ac:dyDescent="0.25">
      <c r="A1" s="20" t="s">
        <v>505</v>
      </c>
      <c r="B1" s="20" t="s">
        <v>506</v>
      </c>
      <c r="C1" s="20" t="s">
        <v>507</v>
      </c>
      <c r="D1" s="20" t="s">
        <v>508</v>
      </c>
      <c r="E1" s="20" t="s">
        <v>509</v>
      </c>
      <c r="F1" s="20" t="s">
        <v>510</v>
      </c>
    </row>
    <row r="2" spans="1:6" x14ac:dyDescent="0.25">
      <c r="A2" t="s">
        <v>511</v>
      </c>
      <c r="B2" t="s">
        <v>62</v>
      </c>
      <c r="C2" t="s">
        <v>512</v>
      </c>
      <c r="D2" t="s">
        <v>73</v>
      </c>
      <c r="E2">
        <v>250</v>
      </c>
      <c r="F2">
        <v>250</v>
      </c>
    </row>
    <row r="3" spans="1:6" x14ac:dyDescent="0.25">
      <c r="A3" t="s">
        <v>511</v>
      </c>
      <c r="B3" t="s">
        <v>63</v>
      </c>
      <c r="C3" t="s">
        <v>513</v>
      </c>
      <c r="D3" t="s">
        <v>514</v>
      </c>
      <c r="E3">
        <v>250</v>
      </c>
      <c r="F3">
        <v>246</v>
      </c>
    </row>
    <row r="4" spans="1:6" x14ac:dyDescent="0.25">
      <c r="A4" t="s">
        <v>511</v>
      </c>
      <c r="B4" t="s">
        <v>64</v>
      </c>
      <c r="C4" t="s">
        <v>512</v>
      </c>
      <c r="D4" t="s">
        <v>74</v>
      </c>
      <c r="E4">
        <v>250</v>
      </c>
      <c r="F4">
        <v>4</v>
      </c>
    </row>
    <row r="5" spans="1:6" x14ac:dyDescent="0.25">
      <c r="A5" t="s">
        <v>511</v>
      </c>
      <c r="B5" t="s">
        <v>65</v>
      </c>
      <c r="C5" t="s">
        <v>512</v>
      </c>
      <c r="D5" t="s">
        <v>75</v>
      </c>
      <c r="E5">
        <v>250</v>
      </c>
      <c r="F5">
        <v>5</v>
      </c>
    </row>
    <row r="6" spans="1:6" x14ac:dyDescent="0.25">
      <c r="A6" t="s">
        <v>511</v>
      </c>
      <c r="B6" t="s">
        <v>66</v>
      </c>
      <c r="C6" t="s">
        <v>512</v>
      </c>
      <c r="D6" t="s">
        <v>76</v>
      </c>
      <c r="E6">
        <v>250</v>
      </c>
      <c r="F6">
        <v>8</v>
      </c>
    </row>
    <row r="7" spans="1:6" x14ac:dyDescent="0.25">
      <c r="A7" t="s">
        <v>511</v>
      </c>
      <c r="B7" t="s">
        <v>67</v>
      </c>
      <c r="C7" t="s">
        <v>512</v>
      </c>
      <c r="D7" t="s">
        <v>77</v>
      </c>
      <c r="E7">
        <v>250</v>
      </c>
      <c r="F7">
        <v>165</v>
      </c>
    </row>
    <row r="8" spans="1:6" x14ac:dyDescent="0.25">
      <c r="A8" t="s">
        <v>511</v>
      </c>
      <c r="B8" t="s">
        <v>68</v>
      </c>
      <c r="C8" t="s">
        <v>515</v>
      </c>
      <c r="D8" t="s">
        <v>516</v>
      </c>
      <c r="E8">
        <v>250</v>
      </c>
      <c r="F8">
        <v>249</v>
      </c>
    </row>
    <row r="9" spans="1:6" x14ac:dyDescent="0.25">
      <c r="A9" t="s">
        <v>511</v>
      </c>
      <c r="B9" t="s">
        <v>69</v>
      </c>
      <c r="C9" t="s">
        <v>515</v>
      </c>
      <c r="D9" t="s">
        <v>517</v>
      </c>
      <c r="E9">
        <v>250</v>
      </c>
      <c r="F9">
        <v>237</v>
      </c>
    </row>
    <row r="10" spans="1:6" x14ac:dyDescent="0.25">
      <c r="A10" t="s">
        <v>511</v>
      </c>
      <c r="B10" t="s">
        <v>70</v>
      </c>
      <c r="C10" t="s">
        <v>515</v>
      </c>
      <c r="D10" t="s">
        <v>518</v>
      </c>
      <c r="E10">
        <v>250</v>
      </c>
      <c r="F10">
        <v>112</v>
      </c>
    </row>
    <row r="11" spans="1:6" x14ac:dyDescent="0.25">
      <c r="A11" t="s">
        <v>511</v>
      </c>
      <c r="B11" t="s">
        <v>71</v>
      </c>
      <c r="C11" t="s">
        <v>515</v>
      </c>
      <c r="D11" t="s">
        <v>519</v>
      </c>
      <c r="E11">
        <v>250</v>
      </c>
      <c r="F11">
        <v>131</v>
      </c>
    </row>
    <row r="12" spans="1:6" x14ac:dyDescent="0.25">
      <c r="A12" t="s">
        <v>511</v>
      </c>
      <c r="B12" t="s">
        <v>72</v>
      </c>
      <c r="C12" t="s">
        <v>515</v>
      </c>
      <c r="D12" t="s">
        <v>520</v>
      </c>
      <c r="E12">
        <v>250</v>
      </c>
      <c r="F12">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tabSelected="1" workbookViewId="0">
      <selection activeCell="A2" sqref="A2"/>
    </sheetView>
  </sheetViews>
  <sheetFormatPr defaultColWidth="8.6640625" defaultRowHeight="13.2" x14ac:dyDescent="0.25"/>
  <cols>
    <col min="1" max="1" width="5.664062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x14ac:dyDescent="0.25">
      <c r="A1" s="22" t="s">
        <v>521</v>
      </c>
    </row>
    <row r="2" spans="1:10" ht="39.6" customHeight="1" x14ac:dyDescent="0.25">
      <c r="A2" s="47" t="s">
        <v>532</v>
      </c>
      <c r="B2" s="34"/>
      <c r="C2" s="34"/>
      <c r="D2" s="34"/>
      <c r="E2" s="34"/>
      <c r="F2" s="34"/>
      <c r="G2" s="34"/>
      <c r="H2" s="34"/>
      <c r="I2" s="34"/>
      <c r="J2" s="34"/>
    </row>
    <row r="3" spans="1:10" ht="26.4" x14ac:dyDescent="0.25">
      <c r="A3" s="20" t="s">
        <v>522</v>
      </c>
      <c r="B3" s="20" t="s">
        <v>523</v>
      </c>
      <c r="C3" s="20" t="s">
        <v>524</v>
      </c>
      <c r="D3" s="20" t="s">
        <v>525</v>
      </c>
      <c r="E3" s="20" t="s">
        <v>526</v>
      </c>
      <c r="F3" s="20" t="s">
        <v>527</v>
      </c>
      <c r="G3" s="20" t="s">
        <v>528</v>
      </c>
      <c r="H3" s="20" t="s">
        <v>529</v>
      </c>
      <c r="I3" s="20" t="s">
        <v>530</v>
      </c>
      <c r="J3" s="20" t="s">
        <v>531</v>
      </c>
    </row>
    <row r="4" spans="1:10" ht="66" customHeight="1" x14ac:dyDescent="0.25">
      <c r="A4" s="45">
        <v>1</v>
      </c>
      <c r="B4" s="25">
        <v>46299</v>
      </c>
      <c r="C4" s="24" t="s">
        <v>533</v>
      </c>
      <c r="D4" s="24" t="s">
        <v>534</v>
      </c>
      <c r="E4" s="24" t="s">
        <v>535</v>
      </c>
      <c r="F4" s="24" t="s">
        <v>536</v>
      </c>
      <c r="G4" s="24" t="s">
        <v>537</v>
      </c>
      <c r="H4" s="24" t="s">
        <v>538</v>
      </c>
      <c r="I4" s="24" t="s">
        <v>539</v>
      </c>
      <c r="J4" s="24" t="s">
        <v>540</v>
      </c>
    </row>
    <row r="5" spans="1:10" ht="66" customHeight="1" x14ac:dyDescent="0.25">
      <c r="A5" s="46">
        <v>2</v>
      </c>
      <c r="B5" s="26">
        <v>46299</v>
      </c>
      <c r="C5" s="27" t="s">
        <v>533</v>
      </c>
      <c r="D5" s="27" t="s">
        <v>534</v>
      </c>
      <c r="E5" s="27" t="s">
        <v>541</v>
      </c>
      <c r="F5" s="27" t="s">
        <v>542</v>
      </c>
      <c r="G5" s="27" t="s">
        <v>543</v>
      </c>
      <c r="H5" s="27" t="s">
        <v>544</v>
      </c>
      <c r="I5" s="27" t="s">
        <v>539</v>
      </c>
      <c r="J5" s="27" t="s">
        <v>540</v>
      </c>
    </row>
    <row r="6" spans="1:10" ht="66" customHeight="1" x14ac:dyDescent="0.25">
      <c r="A6" s="46">
        <v>3</v>
      </c>
      <c r="B6" s="26">
        <v>46299</v>
      </c>
      <c r="C6" s="27" t="s">
        <v>533</v>
      </c>
      <c r="D6" s="27" t="s">
        <v>534</v>
      </c>
      <c r="E6" s="27" t="s">
        <v>545</v>
      </c>
      <c r="F6" s="27" t="s">
        <v>546</v>
      </c>
      <c r="G6" s="27" t="s">
        <v>547</v>
      </c>
      <c r="H6" s="27" t="s">
        <v>548</v>
      </c>
      <c r="I6" s="27" t="s">
        <v>549</v>
      </c>
      <c r="J6" s="27" t="s">
        <v>540</v>
      </c>
    </row>
    <row r="7" spans="1:10" ht="66" customHeight="1" x14ac:dyDescent="0.25">
      <c r="A7" s="46">
        <v>4</v>
      </c>
      <c r="B7" s="26">
        <v>46299</v>
      </c>
      <c r="C7" s="27" t="s">
        <v>533</v>
      </c>
      <c r="D7" s="27" t="s">
        <v>534</v>
      </c>
      <c r="E7" s="27" t="s">
        <v>550</v>
      </c>
      <c r="F7" s="27" t="s">
        <v>551</v>
      </c>
      <c r="G7" s="27" t="s">
        <v>552</v>
      </c>
      <c r="H7" s="27" t="s">
        <v>553</v>
      </c>
      <c r="I7" s="27" t="s">
        <v>539</v>
      </c>
      <c r="J7" s="27" t="s">
        <v>540</v>
      </c>
    </row>
    <row r="8" spans="1:10" ht="66" customHeight="1" x14ac:dyDescent="0.25">
      <c r="A8" s="46">
        <v>5</v>
      </c>
      <c r="B8" s="26">
        <v>46299</v>
      </c>
      <c r="C8" s="27" t="s">
        <v>533</v>
      </c>
      <c r="D8" s="27" t="s">
        <v>534</v>
      </c>
      <c r="E8" s="27" t="s">
        <v>554</v>
      </c>
      <c r="F8" s="27" t="s">
        <v>555</v>
      </c>
      <c r="G8" s="27" t="s">
        <v>556</v>
      </c>
      <c r="H8" s="27" t="s">
        <v>557</v>
      </c>
      <c r="I8" s="27" t="s">
        <v>539</v>
      </c>
      <c r="J8" s="27" t="s">
        <v>540</v>
      </c>
    </row>
    <row r="9" spans="1:10" ht="66" customHeight="1" x14ac:dyDescent="0.25">
      <c r="A9" s="46">
        <v>6</v>
      </c>
      <c r="B9" s="26">
        <v>46299</v>
      </c>
      <c r="C9" s="27" t="s">
        <v>533</v>
      </c>
      <c r="D9" s="27" t="s">
        <v>534</v>
      </c>
      <c r="E9" s="27" t="s">
        <v>558</v>
      </c>
      <c r="F9" s="27" t="s">
        <v>559</v>
      </c>
      <c r="G9" s="27" t="s">
        <v>560</v>
      </c>
      <c r="H9" s="27" t="s">
        <v>561</v>
      </c>
      <c r="I9" s="27" t="s">
        <v>539</v>
      </c>
      <c r="J9" s="27" t="s">
        <v>540</v>
      </c>
    </row>
    <row r="10" spans="1:10" ht="66" customHeight="1" x14ac:dyDescent="0.25">
      <c r="A10" s="46">
        <v>7</v>
      </c>
      <c r="B10" s="26">
        <v>46299</v>
      </c>
      <c r="C10" s="27" t="s">
        <v>533</v>
      </c>
      <c r="D10" s="27" t="s">
        <v>534</v>
      </c>
      <c r="E10" s="27" t="s">
        <v>562</v>
      </c>
      <c r="F10" s="27" t="s">
        <v>563</v>
      </c>
      <c r="G10" s="27" t="s">
        <v>564</v>
      </c>
      <c r="H10" s="27" t="s">
        <v>565</v>
      </c>
      <c r="I10" s="27" t="s">
        <v>549</v>
      </c>
      <c r="J10" s="27" t="s">
        <v>540</v>
      </c>
    </row>
    <row r="11" spans="1:10" ht="66" customHeight="1" x14ac:dyDescent="0.25">
      <c r="A11" s="46">
        <v>8</v>
      </c>
      <c r="B11" s="26">
        <v>46299</v>
      </c>
      <c r="C11" s="27" t="s">
        <v>533</v>
      </c>
      <c r="D11" s="27" t="s">
        <v>534</v>
      </c>
      <c r="E11" s="27" t="s">
        <v>566</v>
      </c>
      <c r="F11" s="27" t="s">
        <v>567</v>
      </c>
      <c r="G11" s="27" t="s">
        <v>568</v>
      </c>
      <c r="H11" s="27" t="s">
        <v>569</v>
      </c>
      <c r="I11" s="27" t="s">
        <v>539</v>
      </c>
      <c r="J11" s="27" t="s">
        <v>540</v>
      </c>
    </row>
    <row r="12" spans="1:10" ht="66" customHeight="1" x14ac:dyDescent="0.25">
      <c r="A12" s="46">
        <v>9</v>
      </c>
      <c r="B12" s="26">
        <v>46299</v>
      </c>
      <c r="C12" s="27" t="s">
        <v>533</v>
      </c>
      <c r="D12" s="27" t="s">
        <v>534</v>
      </c>
      <c r="E12" s="27" t="s">
        <v>570</v>
      </c>
      <c r="F12" s="27" t="s">
        <v>571</v>
      </c>
      <c r="G12" s="27" t="s">
        <v>572</v>
      </c>
      <c r="H12" s="27" t="s">
        <v>573</v>
      </c>
      <c r="I12" s="27" t="s">
        <v>549</v>
      </c>
      <c r="J12" s="27" t="s">
        <v>540</v>
      </c>
    </row>
    <row r="13" spans="1:10" ht="66" customHeight="1" x14ac:dyDescent="0.25">
      <c r="A13" s="46">
        <v>10</v>
      </c>
      <c r="B13" s="26">
        <v>46299</v>
      </c>
      <c r="C13" s="27" t="s">
        <v>533</v>
      </c>
      <c r="D13" s="27" t="s">
        <v>534</v>
      </c>
      <c r="E13" s="27" t="s">
        <v>574</v>
      </c>
      <c r="F13" s="27" t="s">
        <v>575</v>
      </c>
      <c r="G13" s="27" t="s">
        <v>576</v>
      </c>
      <c r="H13" s="27" t="s">
        <v>577</v>
      </c>
      <c r="I13" s="27" t="s">
        <v>539</v>
      </c>
      <c r="J13" s="27" t="s">
        <v>540</v>
      </c>
    </row>
    <row r="14" spans="1:10" ht="66" customHeight="1" x14ac:dyDescent="0.25">
      <c r="A14" s="46">
        <v>11</v>
      </c>
      <c r="B14" s="26">
        <v>46299</v>
      </c>
      <c r="C14" s="27" t="s">
        <v>533</v>
      </c>
      <c r="D14" s="27" t="s">
        <v>534</v>
      </c>
      <c r="E14" s="27" t="s">
        <v>578</v>
      </c>
      <c r="F14" s="27" t="s">
        <v>579</v>
      </c>
      <c r="G14" s="27" t="s">
        <v>580</v>
      </c>
      <c r="H14" s="27" t="s">
        <v>581</v>
      </c>
      <c r="I14" s="27" t="s">
        <v>539</v>
      </c>
      <c r="J14" s="27" t="s">
        <v>540</v>
      </c>
    </row>
    <row r="15" spans="1:10" ht="66" customHeight="1" x14ac:dyDescent="0.25">
      <c r="A15" s="46">
        <v>12</v>
      </c>
      <c r="B15" s="26">
        <v>46299</v>
      </c>
      <c r="C15" s="27" t="s">
        <v>533</v>
      </c>
      <c r="D15" s="27" t="s">
        <v>534</v>
      </c>
      <c r="E15" s="27" t="s">
        <v>582</v>
      </c>
      <c r="F15" s="27" t="s">
        <v>583</v>
      </c>
      <c r="G15" s="27" t="s">
        <v>584</v>
      </c>
      <c r="H15" s="27" t="s">
        <v>585</v>
      </c>
      <c r="I15" s="27" t="s">
        <v>539</v>
      </c>
      <c r="J15" s="27" t="s">
        <v>540</v>
      </c>
    </row>
    <row r="16" spans="1:10" ht="66" customHeight="1" x14ac:dyDescent="0.25">
      <c r="A16" s="46">
        <v>13</v>
      </c>
      <c r="B16" s="26">
        <v>46299</v>
      </c>
      <c r="C16" s="27" t="s">
        <v>533</v>
      </c>
      <c r="D16" s="27" t="s">
        <v>534</v>
      </c>
      <c r="E16" s="27" t="s">
        <v>586</v>
      </c>
      <c r="F16" s="27" t="s">
        <v>587</v>
      </c>
      <c r="G16" s="27" t="s">
        <v>588</v>
      </c>
      <c r="H16" s="27" t="s">
        <v>589</v>
      </c>
      <c r="I16" s="27" t="s">
        <v>539</v>
      </c>
      <c r="J16" s="27" t="s">
        <v>540</v>
      </c>
    </row>
    <row r="17" spans="1:10" ht="66" customHeight="1" x14ac:dyDescent="0.25">
      <c r="A17" s="46">
        <v>14</v>
      </c>
      <c r="B17" s="26">
        <v>46299</v>
      </c>
      <c r="C17" s="27" t="s">
        <v>533</v>
      </c>
      <c r="D17" s="27" t="s">
        <v>534</v>
      </c>
      <c r="E17" s="27" t="s">
        <v>590</v>
      </c>
      <c r="F17" s="27" t="s">
        <v>591</v>
      </c>
      <c r="G17" s="27" t="s">
        <v>592</v>
      </c>
      <c r="H17" s="27" t="s">
        <v>593</v>
      </c>
      <c r="I17" s="27" t="s">
        <v>539</v>
      </c>
      <c r="J17" s="27" t="s">
        <v>540</v>
      </c>
    </row>
    <row r="18" spans="1:10" ht="66" customHeight="1" x14ac:dyDescent="0.25">
      <c r="A18" s="46">
        <v>15</v>
      </c>
      <c r="B18" s="26">
        <v>46299</v>
      </c>
      <c r="C18" s="27" t="s">
        <v>533</v>
      </c>
      <c r="D18" s="27" t="s">
        <v>534</v>
      </c>
      <c r="E18" s="27" t="s">
        <v>594</v>
      </c>
      <c r="F18" s="27" t="s">
        <v>595</v>
      </c>
      <c r="G18" s="27" t="s">
        <v>596</v>
      </c>
      <c r="H18" s="27" t="s">
        <v>597</v>
      </c>
      <c r="I18" s="27" t="s">
        <v>539</v>
      </c>
      <c r="J18" s="27" t="s">
        <v>540</v>
      </c>
    </row>
    <row r="19" spans="1:10" ht="14.4" x14ac:dyDescent="0.25">
      <c r="A19" s="21"/>
      <c r="B19" s="26"/>
      <c r="C19" s="27"/>
      <c r="D19" s="27"/>
      <c r="E19" s="27"/>
      <c r="F19" s="27"/>
      <c r="G19" s="27"/>
      <c r="H19" s="27"/>
      <c r="I19" s="27"/>
      <c r="J19" s="27"/>
    </row>
    <row r="20" spans="1:10" ht="14.4" x14ac:dyDescent="0.25">
      <c r="A20" s="21"/>
      <c r="B20" s="26"/>
      <c r="C20" s="27"/>
      <c r="D20" s="27"/>
      <c r="E20" s="27"/>
      <c r="F20" s="27"/>
      <c r="G20" s="27"/>
      <c r="H20" s="27"/>
      <c r="I20" s="27"/>
      <c r="J20" s="27"/>
    </row>
    <row r="21" spans="1:10" ht="14.4" x14ac:dyDescent="0.25">
      <c r="A21" s="21"/>
      <c r="B21" s="26"/>
      <c r="C21" s="27"/>
      <c r="D21" s="27"/>
      <c r="E21" s="27"/>
      <c r="F21" s="27"/>
      <c r="G21" s="27"/>
      <c r="H21" s="27"/>
      <c r="I21" s="27"/>
      <c r="J21" s="27"/>
    </row>
    <row r="22" spans="1:10" ht="14.4" x14ac:dyDescent="0.25">
      <c r="A22" s="21"/>
      <c r="B22" s="26"/>
      <c r="C22" s="27"/>
      <c r="D22" s="27"/>
      <c r="E22" s="27"/>
      <c r="F22" s="27"/>
      <c r="G22" s="27"/>
      <c r="H22" s="27"/>
      <c r="I22" s="27"/>
      <c r="J22" s="27"/>
    </row>
    <row r="23" spans="1:10" ht="14.4" x14ac:dyDescent="0.25">
      <c r="A23" s="21"/>
      <c r="B23" s="26"/>
      <c r="C23" s="27"/>
      <c r="D23" s="27"/>
      <c r="E23" s="27"/>
      <c r="F23" s="27"/>
      <c r="G23" s="27"/>
      <c r="H23" s="27"/>
      <c r="I23" s="27"/>
      <c r="J23" s="27"/>
    </row>
    <row r="24" spans="1:10" ht="14.4" x14ac:dyDescent="0.25">
      <c r="A24" s="21"/>
      <c r="B24" s="26"/>
      <c r="C24" s="27"/>
      <c r="D24" s="27"/>
      <c r="E24" s="27"/>
      <c r="F24" s="27"/>
      <c r="G24" s="27"/>
      <c r="H24" s="27"/>
      <c r="I24" s="27"/>
      <c r="J24" s="27"/>
    </row>
    <row r="25" spans="1:10" ht="14.4" x14ac:dyDescent="0.25">
      <c r="A25" s="21"/>
      <c r="B25" s="26"/>
      <c r="C25" s="27"/>
      <c r="D25" s="27"/>
      <c r="E25" s="27"/>
      <c r="F25" s="27"/>
      <c r="G25" s="27"/>
      <c r="H25" s="27"/>
      <c r="I25" s="27"/>
      <c r="J25" s="27"/>
    </row>
    <row r="26" spans="1:10" ht="14.4" x14ac:dyDescent="0.25">
      <c r="A26" s="21"/>
      <c r="B26" s="26"/>
      <c r="C26" s="27"/>
      <c r="D26" s="27"/>
      <c r="E26" s="27"/>
      <c r="F26" s="27"/>
      <c r="G26" s="27"/>
      <c r="H26" s="27"/>
      <c r="I26" s="27"/>
      <c r="J26" s="27"/>
    </row>
    <row r="27" spans="1:10" ht="14.4" x14ac:dyDescent="0.25">
      <c r="A27" s="21"/>
      <c r="B27" s="26"/>
      <c r="C27" s="27"/>
      <c r="D27" s="27"/>
      <c r="E27" s="27"/>
      <c r="F27" s="27"/>
      <c r="G27" s="27"/>
      <c r="H27" s="27"/>
      <c r="I27" s="27"/>
      <c r="J27" s="27"/>
    </row>
    <row r="28" spans="1:10" ht="14.4" x14ac:dyDescent="0.25">
      <c r="A28" s="21"/>
      <c r="B28" s="26"/>
      <c r="C28" s="27"/>
      <c r="D28" s="27"/>
      <c r="E28" s="27"/>
      <c r="F28" s="27"/>
      <c r="G28" s="27"/>
      <c r="H28" s="27"/>
      <c r="I28" s="27"/>
      <c r="J28" s="27"/>
    </row>
    <row r="29" spans="1:10" ht="14.4" x14ac:dyDescent="0.25">
      <c r="A29" s="21"/>
      <c r="B29" s="26"/>
      <c r="C29" s="27"/>
      <c r="D29" s="27"/>
      <c r="E29" s="27"/>
      <c r="F29" s="27"/>
      <c r="G29" s="27"/>
      <c r="H29" s="27"/>
      <c r="I29" s="27"/>
      <c r="J29" s="27"/>
    </row>
  </sheetData>
  <dataValidations count="2">
    <dataValidation type="list" allowBlank="1" sqref="I5:I29" xr:uid="{00000000-0002-0000-0300-000000000000}">
      <formula1>"Kept,Rejected,Partly kept"</formula1>
      <formula2>0</formula2>
    </dataValidation>
    <dataValidation type="list" sqref="I4:I18" xr:uid="{00000000-0002-0000-0300-000001000000}">
      <formula1>"Kept,Rejected"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51"/>
  <sheetViews>
    <sheetView topLeftCell="A37" workbookViewId="0"/>
  </sheetViews>
  <sheetFormatPr defaultRowHeight="13.2" x14ac:dyDescent="0.25"/>
  <cols>
    <col min="1" max="1" width="12" customWidth="1"/>
    <col min="2" max="2" width="19" customWidth="1"/>
    <col min="3" max="5" width="18" customWidth="1"/>
    <col min="6" max="6" width="38" customWidth="1"/>
    <col min="7" max="16" width="16" customWidth="1"/>
  </cols>
  <sheetData>
    <row r="1" spans="1:16" x14ac:dyDescent="0.25">
      <c r="A1" s="33" t="s">
        <v>62</v>
      </c>
      <c r="B1" s="33" t="s">
        <v>63</v>
      </c>
      <c r="C1" s="33" t="s">
        <v>64</v>
      </c>
      <c r="D1" s="33" t="s">
        <v>65</v>
      </c>
      <c r="E1" s="33" t="s">
        <v>66</v>
      </c>
      <c r="F1" s="33" t="s">
        <v>67</v>
      </c>
      <c r="G1" s="33" t="s">
        <v>68</v>
      </c>
      <c r="H1" s="33" t="s">
        <v>69</v>
      </c>
      <c r="I1" s="33" t="s">
        <v>70</v>
      </c>
      <c r="J1" s="33" t="s">
        <v>71</v>
      </c>
      <c r="K1" s="33" t="s">
        <v>72</v>
      </c>
      <c r="L1" s="33" t="s">
        <v>598</v>
      </c>
      <c r="M1" s="33" t="s">
        <v>599</v>
      </c>
      <c r="N1" s="33" t="s">
        <v>600</v>
      </c>
      <c r="O1" s="33" t="s">
        <v>601</v>
      </c>
      <c r="P1" s="33" t="s">
        <v>602</v>
      </c>
    </row>
    <row r="2" spans="1:16" ht="26.4" x14ac:dyDescent="0.25">
      <c r="A2" t="s">
        <v>73</v>
      </c>
      <c r="B2" s="29">
        <v>45881.333333333299</v>
      </c>
      <c r="C2" t="s">
        <v>74</v>
      </c>
      <c r="D2" t="s">
        <v>75</v>
      </c>
      <c r="E2" t="s">
        <v>76</v>
      </c>
      <c r="F2" s="34" t="s">
        <v>77</v>
      </c>
      <c r="G2" s="30">
        <v>5953</v>
      </c>
      <c r="H2" s="30">
        <v>445</v>
      </c>
      <c r="I2" s="30">
        <v>15</v>
      </c>
      <c r="J2" s="30">
        <v>40</v>
      </c>
      <c r="K2" s="30">
        <v>6</v>
      </c>
      <c r="L2" s="30">
        <f t="shared" ref="L2:L65" si="0">SUM(H2:K2)</f>
        <v>506</v>
      </c>
      <c r="M2" s="31">
        <f t="shared" ref="M2:M65" si="1">IFERROR(L2/G2,0)</f>
        <v>8.4999160087350922E-2</v>
      </c>
      <c r="N2" s="32">
        <f t="shared" ref="N2:N65" si="2">MOD(ROUND(B2*24,0),24)</f>
        <v>8</v>
      </c>
      <c r="O2" t="str">
        <f t="shared" ref="O2:O65" si="3">IF(AND(N2&gt;=6,N2&lt;12),"Morning (06-11)",IF(AND(N2&gt;=12,N2&lt;17),"Afternoon (12-16)",IF(AND(N2&gt;=17,N2&lt;21),"Evening (17-20)","Night (21-05)")))</f>
        <v>Morning (06-11)</v>
      </c>
      <c r="P2" t="str">
        <f t="shared" ref="P2:P65" si="4">TEXT(B2,"dddd")</f>
        <v>Tuesday</v>
      </c>
    </row>
    <row r="3" spans="1:16" x14ac:dyDescent="0.25">
      <c r="A3" t="s">
        <v>78</v>
      </c>
      <c r="B3" s="29">
        <v>45936.416666666701</v>
      </c>
      <c r="C3" t="s">
        <v>79</v>
      </c>
      <c r="D3" t="s">
        <v>80</v>
      </c>
      <c r="E3" t="s">
        <v>81</v>
      </c>
      <c r="F3" s="34" t="s">
        <v>82</v>
      </c>
      <c r="G3" s="30">
        <v>12768</v>
      </c>
      <c r="H3" s="30">
        <v>435</v>
      </c>
      <c r="I3" s="30">
        <v>22</v>
      </c>
      <c r="J3" s="30">
        <v>56</v>
      </c>
      <c r="K3" s="30">
        <v>49</v>
      </c>
      <c r="L3" s="30">
        <f t="shared" si="0"/>
        <v>562</v>
      </c>
      <c r="M3" s="31">
        <f t="shared" si="1"/>
        <v>4.4016290726817044E-2</v>
      </c>
      <c r="N3" s="32">
        <f t="shared" si="2"/>
        <v>10</v>
      </c>
      <c r="O3" t="str">
        <f t="shared" si="3"/>
        <v>Morning (06-11)</v>
      </c>
      <c r="P3" t="str">
        <f t="shared" si="4"/>
        <v>Monday</v>
      </c>
    </row>
    <row r="4" spans="1:16" x14ac:dyDescent="0.25">
      <c r="A4" t="s">
        <v>83</v>
      </c>
      <c r="B4" s="29">
        <v>46057.375</v>
      </c>
      <c r="C4" t="s">
        <v>84</v>
      </c>
      <c r="D4" t="s">
        <v>85</v>
      </c>
      <c r="E4" t="s">
        <v>76</v>
      </c>
      <c r="F4" s="34" t="s">
        <v>86</v>
      </c>
      <c r="G4" s="30">
        <v>4945</v>
      </c>
      <c r="H4" s="30">
        <v>205</v>
      </c>
      <c r="I4" s="30">
        <v>12</v>
      </c>
      <c r="J4" s="30">
        <v>4</v>
      </c>
      <c r="K4" s="30">
        <v>45</v>
      </c>
      <c r="L4" s="30">
        <f t="shared" si="0"/>
        <v>266</v>
      </c>
      <c r="M4" s="31">
        <f t="shared" si="1"/>
        <v>5.3791708796764405E-2</v>
      </c>
      <c r="N4" s="32">
        <f t="shared" si="2"/>
        <v>9</v>
      </c>
      <c r="O4" t="str">
        <f t="shared" si="3"/>
        <v>Morning (06-11)</v>
      </c>
      <c r="P4" t="str">
        <f t="shared" si="4"/>
        <v>Wednesday</v>
      </c>
    </row>
    <row r="5" spans="1:16" x14ac:dyDescent="0.25">
      <c r="A5" t="s">
        <v>87</v>
      </c>
      <c r="B5" s="29">
        <v>45945.416666666701</v>
      </c>
      <c r="C5" t="s">
        <v>74</v>
      </c>
      <c r="D5" t="s">
        <v>85</v>
      </c>
      <c r="E5" t="s">
        <v>88</v>
      </c>
      <c r="F5" s="34" t="s">
        <v>89</v>
      </c>
      <c r="G5" s="30">
        <v>7341</v>
      </c>
      <c r="H5" s="30">
        <v>364</v>
      </c>
      <c r="I5" s="30">
        <v>27</v>
      </c>
      <c r="J5" s="30">
        <v>40</v>
      </c>
      <c r="K5" s="30">
        <v>58</v>
      </c>
      <c r="L5" s="30">
        <f t="shared" si="0"/>
        <v>489</v>
      </c>
      <c r="M5" s="31">
        <f t="shared" si="1"/>
        <v>6.6612178177360037E-2</v>
      </c>
      <c r="N5" s="32">
        <f t="shared" si="2"/>
        <v>10</v>
      </c>
      <c r="O5" t="str">
        <f t="shared" si="3"/>
        <v>Morning (06-11)</v>
      </c>
      <c r="P5" t="str">
        <f t="shared" si="4"/>
        <v>Wednesday</v>
      </c>
    </row>
    <row r="6" spans="1:16" ht="26.4" x14ac:dyDescent="0.25">
      <c r="A6" t="s">
        <v>90</v>
      </c>
      <c r="B6" s="29">
        <v>45905</v>
      </c>
      <c r="C6" t="s">
        <v>84</v>
      </c>
      <c r="D6" t="s">
        <v>80</v>
      </c>
      <c r="E6" t="s">
        <v>91</v>
      </c>
      <c r="F6" s="34" t="s">
        <v>92</v>
      </c>
      <c r="G6" s="30">
        <v>25876</v>
      </c>
      <c r="H6" s="30">
        <v>2041</v>
      </c>
      <c r="I6" s="30">
        <v>171</v>
      </c>
      <c r="J6" s="30">
        <v>225</v>
      </c>
      <c r="K6" s="30">
        <v>214</v>
      </c>
      <c r="L6" s="30">
        <f t="shared" si="0"/>
        <v>2651</v>
      </c>
      <c r="M6" s="31">
        <f t="shared" si="1"/>
        <v>0.10245014685422786</v>
      </c>
      <c r="N6" s="32">
        <f t="shared" si="2"/>
        <v>0</v>
      </c>
      <c r="O6" t="str">
        <f t="shared" si="3"/>
        <v>Night (21-05)</v>
      </c>
      <c r="P6" t="str">
        <f t="shared" si="4"/>
        <v>Friday</v>
      </c>
    </row>
    <row r="7" spans="1:16" ht="26.4" x14ac:dyDescent="0.25">
      <c r="A7" t="s">
        <v>93</v>
      </c>
      <c r="B7" s="29">
        <v>46093.041666666701</v>
      </c>
      <c r="C7" t="s">
        <v>74</v>
      </c>
      <c r="D7" t="s">
        <v>80</v>
      </c>
      <c r="E7" t="s">
        <v>94</v>
      </c>
      <c r="F7" s="34" t="s">
        <v>95</v>
      </c>
      <c r="G7" s="30">
        <v>46761</v>
      </c>
      <c r="H7" s="30">
        <v>2252</v>
      </c>
      <c r="I7" s="30">
        <v>94</v>
      </c>
      <c r="J7" s="30">
        <v>63</v>
      </c>
      <c r="K7" s="30">
        <v>447</v>
      </c>
      <c r="L7" s="30">
        <f t="shared" si="0"/>
        <v>2856</v>
      </c>
      <c r="M7" s="31">
        <f t="shared" si="1"/>
        <v>6.1076538140758321E-2</v>
      </c>
      <c r="N7" s="32">
        <f t="shared" si="2"/>
        <v>1</v>
      </c>
      <c r="O7" t="str">
        <f t="shared" si="3"/>
        <v>Night (21-05)</v>
      </c>
      <c r="P7" t="str">
        <f t="shared" si="4"/>
        <v>Thursday</v>
      </c>
    </row>
    <row r="8" spans="1:16" ht="26.4" x14ac:dyDescent="0.25">
      <c r="A8" t="s">
        <v>96</v>
      </c>
      <c r="B8" s="29">
        <v>46081.041666666701</v>
      </c>
      <c r="C8" t="s">
        <v>79</v>
      </c>
      <c r="D8" t="s">
        <v>97</v>
      </c>
      <c r="E8" t="s">
        <v>94</v>
      </c>
      <c r="F8" s="34" t="s">
        <v>98</v>
      </c>
      <c r="G8" s="30">
        <v>3105</v>
      </c>
      <c r="H8" s="30">
        <v>107</v>
      </c>
      <c r="I8" s="30">
        <v>3</v>
      </c>
      <c r="J8" s="30">
        <v>1</v>
      </c>
      <c r="K8" s="30">
        <v>4</v>
      </c>
      <c r="L8" s="30">
        <f t="shared" si="0"/>
        <v>115</v>
      </c>
      <c r="M8" s="31">
        <f t="shared" si="1"/>
        <v>3.7037037037037035E-2</v>
      </c>
      <c r="N8" s="32">
        <f t="shared" si="2"/>
        <v>1</v>
      </c>
      <c r="O8" t="str">
        <f t="shared" si="3"/>
        <v>Night (21-05)</v>
      </c>
      <c r="P8" t="str">
        <f t="shared" si="4"/>
        <v>Saturday</v>
      </c>
    </row>
    <row r="9" spans="1:16" x14ac:dyDescent="0.25">
      <c r="A9" t="s">
        <v>99</v>
      </c>
      <c r="B9" s="29">
        <v>45874.291666666701</v>
      </c>
      <c r="C9" t="s">
        <v>100</v>
      </c>
      <c r="D9" t="s">
        <v>97</v>
      </c>
      <c r="E9" t="s">
        <v>94</v>
      </c>
      <c r="F9" s="34" t="s">
        <v>101</v>
      </c>
      <c r="G9" s="30">
        <v>2523</v>
      </c>
      <c r="H9" s="30">
        <v>128</v>
      </c>
      <c r="I9" s="30">
        <v>8</v>
      </c>
      <c r="J9" s="30">
        <v>1</v>
      </c>
      <c r="K9" s="30">
        <v>19</v>
      </c>
      <c r="L9" s="30">
        <f t="shared" si="0"/>
        <v>156</v>
      </c>
      <c r="M9" s="31">
        <f t="shared" si="1"/>
        <v>6.1831153388822828E-2</v>
      </c>
      <c r="N9" s="32">
        <f t="shared" si="2"/>
        <v>7</v>
      </c>
      <c r="O9" t="str">
        <f t="shared" si="3"/>
        <v>Morning (06-11)</v>
      </c>
      <c r="P9" t="str">
        <f t="shared" si="4"/>
        <v>Tuesday</v>
      </c>
    </row>
    <row r="10" spans="1:16" x14ac:dyDescent="0.25">
      <c r="A10" t="s">
        <v>102</v>
      </c>
      <c r="B10" s="29">
        <v>45871.916666666701</v>
      </c>
      <c r="C10" t="s">
        <v>74</v>
      </c>
      <c r="D10" t="s">
        <v>75</v>
      </c>
      <c r="E10" t="s">
        <v>88</v>
      </c>
      <c r="F10" s="34" t="s">
        <v>103</v>
      </c>
      <c r="G10" s="30">
        <v>7609</v>
      </c>
      <c r="H10" s="30">
        <v>624</v>
      </c>
      <c r="I10" s="30">
        <v>24</v>
      </c>
      <c r="J10" s="30">
        <v>12</v>
      </c>
      <c r="K10" s="30">
        <v>72</v>
      </c>
      <c r="L10" s="30">
        <f t="shared" si="0"/>
        <v>732</v>
      </c>
      <c r="M10" s="31">
        <f t="shared" si="1"/>
        <v>9.6201866211065842E-2</v>
      </c>
      <c r="N10" s="32">
        <f t="shared" si="2"/>
        <v>22</v>
      </c>
      <c r="O10" t="str">
        <f t="shared" si="3"/>
        <v>Night (21-05)</v>
      </c>
      <c r="P10" t="str">
        <f t="shared" si="4"/>
        <v>Saturday</v>
      </c>
    </row>
    <row r="11" spans="1:16" x14ac:dyDescent="0.25">
      <c r="A11" t="s">
        <v>104</v>
      </c>
      <c r="B11" s="29">
        <v>46084.75</v>
      </c>
      <c r="C11" t="s">
        <v>79</v>
      </c>
      <c r="D11" t="s">
        <v>85</v>
      </c>
      <c r="E11" t="s">
        <v>76</v>
      </c>
      <c r="F11" s="34" t="s">
        <v>105</v>
      </c>
      <c r="G11" s="30">
        <v>10179</v>
      </c>
      <c r="H11" s="30">
        <v>688</v>
      </c>
      <c r="I11" s="30">
        <v>37</v>
      </c>
      <c r="J11" s="30">
        <v>99</v>
      </c>
      <c r="K11" s="30">
        <v>30</v>
      </c>
      <c r="L11" s="30">
        <f t="shared" si="0"/>
        <v>854</v>
      </c>
      <c r="M11" s="31">
        <f t="shared" si="1"/>
        <v>8.3898221829256311E-2</v>
      </c>
      <c r="N11" s="32">
        <f t="shared" si="2"/>
        <v>18</v>
      </c>
      <c r="O11" t="str">
        <f t="shared" si="3"/>
        <v>Evening (17-20)</v>
      </c>
      <c r="P11" t="str">
        <f t="shared" si="4"/>
        <v>Tuesday</v>
      </c>
    </row>
    <row r="12" spans="1:16" ht="26.4" x14ac:dyDescent="0.25">
      <c r="A12" t="s">
        <v>106</v>
      </c>
      <c r="B12" s="29">
        <v>45849.875</v>
      </c>
      <c r="C12" t="s">
        <v>74</v>
      </c>
      <c r="D12" t="s">
        <v>75</v>
      </c>
      <c r="E12" t="s">
        <v>91</v>
      </c>
      <c r="F12" s="34" t="s">
        <v>107</v>
      </c>
      <c r="G12" s="30">
        <v>11477</v>
      </c>
      <c r="H12" s="30">
        <v>823</v>
      </c>
      <c r="I12" s="30">
        <v>50</v>
      </c>
      <c r="J12" s="30">
        <v>53</v>
      </c>
      <c r="K12" s="30">
        <v>97</v>
      </c>
      <c r="L12" s="30">
        <f t="shared" si="0"/>
        <v>1023</v>
      </c>
      <c r="M12" s="31">
        <f t="shared" si="1"/>
        <v>8.9134791321773987E-2</v>
      </c>
      <c r="N12" s="32">
        <f t="shared" si="2"/>
        <v>21</v>
      </c>
      <c r="O12" t="str">
        <f t="shared" si="3"/>
        <v>Night (21-05)</v>
      </c>
      <c r="P12" t="str">
        <f t="shared" si="4"/>
        <v>Friday</v>
      </c>
    </row>
    <row r="13" spans="1:16" x14ac:dyDescent="0.25">
      <c r="A13" t="s">
        <v>108</v>
      </c>
      <c r="B13" s="29">
        <v>46008.416666666701</v>
      </c>
      <c r="C13" t="s">
        <v>74</v>
      </c>
      <c r="D13" t="s">
        <v>97</v>
      </c>
      <c r="E13" t="s">
        <v>76</v>
      </c>
      <c r="F13" s="34" t="s">
        <v>109</v>
      </c>
      <c r="G13" s="30">
        <v>3590</v>
      </c>
      <c r="H13" s="30">
        <v>283</v>
      </c>
      <c r="I13" s="30">
        <v>26</v>
      </c>
      <c r="J13" s="30">
        <v>26</v>
      </c>
      <c r="K13" s="30">
        <v>31</v>
      </c>
      <c r="L13" s="30">
        <f t="shared" si="0"/>
        <v>366</v>
      </c>
      <c r="M13" s="31">
        <f t="shared" si="1"/>
        <v>0.10194986072423398</v>
      </c>
      <c r="N13" s="32">
        <f t="shared" si="2"/>
        <v>10</v>
      </c>
      <c r="O13" t="str">
        <f t="shared" si="3"/>
        <v>Morning (06-11)</v>
      </c>
      <c r="P13" t="str">
        <f t="shared" si="4"/>
        <v>Wednesday</v>
      </c>
    </row>
    <row r="14" spans="1:16" ht="26.4" x14ac:dyDescent="0.25">
      <c r="A14" t="s">
        <v>110</v>
      </c>
      <c r="B14" s="29">
        <v>45940.708333333299</v>
      </c>
      <c r="C14" t="s">
        <v>74</v>
      </c>
      <c r="D14" t="s">
        <v>80</v>
      </c>
      <c r="E14" t="s">
        <v>111</v>
      </c>
      <c r="F14" s="34" t="s">
        <v>98</v>
      </c>
      <c r="G14" s="30">
        <v>21094</v>
      </c>
      <c r="H14" s="30">
        <v>1563</v>
      </c>
      <c r="I14" s="30">
        <v>149</v>
      </c>
      <c r="J14" s="30">
        <v>147</v>
      </c>
      <c r="K14" s="30">
        <v>176</v>
      </c>
      <c r="L14" s="30">
        <f t="shared" si="0"/>
        <v>2035</v>
      </c>
      <c r="M14" s="31">
        <f t="shared" si="1"/>
        <v>9.6472930691191811E-2</v>
      </c>
      <c r="N14" s="32">
        <f t="shared" si="2"/>
        <v>17</v>
      </c>
      <c r="O14" t="str">
        <f t="shared" si="3"/>
        <v>Evening (17-20)</v>
      </c>
      <c r="P14" t="str">
        <f t="shared" si="4"/>
        <v>Friday</v>
      </c>
    </row>
    <row r="15" spans="1:16" x14ac:dyDescent="0.25">
      <c r="A15" t="s">
        <v>112</v>
      </c>
      <c r="B15" s="29">
        <v>45850.708333333299</v>
      </c>
      <c r="C15" t="s">
        <v>74</v>
      </c>
      <c r="D15" t="s">
        <v>85</v>
      </c>
      <c r="E15" t="s">
        <v>76</v>
      </c>
      <c r="F15" s="34" t="s">
        <v>113</v>
      </c>
      <c r="G15" s="30">
        <v>4370</v>
      </c>
      <c r="H15" s="30">
        <v>135</v>
      </c>
      <c r="I15" s="30">
        <v>4</v>
      </c>
      <c r="J15" s="30">
        <v>17</v>
      </c>
      <c r="K15" s="30">
        <v>32</v>
      </c>
      <c r="L15" s="30">
        <f t="shared" si="0"/>
        <v>188</v>
      </c>
      <c r="M15" s="31">
        <f t="shared" si="1"/>
        <v>4.3020594965675056E-2</v>
      </c>
      <c r="N15" s="32">
        <f t="shared" si="2"/>
        <v>17</v>
      </c>
      <c r="O15" t="str">
        <f t="shared" si="3"/>
        <v>Evening (17-20)</v>
      </c>
      <c r="P15" t="str">
        <f t="shared" si="4"/>
        <v>Saturday</v>
      </c>
    </row>
    <row r="16" spans="1:16" x14ac:dyDescent="0.25">
      <c r="A16" t="s">
        <v>114</v>
      </c>
      <c r="B16" s="29">
        <v>45927.416666666701</v>
      </c>
      <c r="C16" t="s">
        <v>84</v>
      </c>
      <c r="D16" t="s">
        <v>75</v>
      </c>
      <c r="E16" t="s">
        <v>115</v>
      </c>
      <c r="F16" s="34" t="s">
        <v>116</v>
      </c>
      <c r="G16" s="30">
        <v>11734</v>
      </c>
      <c r="H16" s="30">
        <v>856</v>
      </c>
      <c r="I16" s="30">
        <v>52</v>
      </c>
      <c r="J16" s="30">
        <v>100</v>
      </c>
      <c r="K16" s="30">
        <v>38</v>
      </c>
      <c r="L16" s="30">
        <f t="shared" si="0"/>
        <v>1046</v>
      </c>
      <c r="M16" s="31">
        <f t="shared" si="1"/>
        <v>8.9142662348730181E-2</v>
      </c>
      <c r="N16" s="32">
        <f t="shared" si="2"/>
        <v>10</v>
      </c>
      <c r="O16" t="str">
        <f t="shared" si="3"/>
        <v>Morning (06-11)</v>
      </c>
      <c r="P16" t="str">
        <f t="shared" si="4"/>
        <v>Saturday</v>
      </c>
    </row>
    <row r="17" spans="1:16" ht="26.4" x14ac:dyDescent="0.25">
      <c r="A17" t="s">
        <v>117</v>
      </c>
      <c r="B17" s="29">
        <v>45958.083333333299</v>
      </c>
      <c r="C17" t="s">
        <v>74</v>
      </c>
      <c r="D17" t="s">
        <v>75</v>
      </c>
      <c r="E17" t="s">
        <v>91</v>
      </c>
      <c r="F17" s="34" t="s">
        <v>118</v>
      </c>
      <c r="G17" s="30">
        <v>13547</v>
      </c>
      <c r="H17" s="30">
        <v>441</v>
      </c>
      <c r="I17" s="30">
        <v>42</v>
      </c>
      <c r="J17" s="30">
        <v>12</v>
      </c>
      <c r="K17" s="30">
        <v>67</v>
      </c>
      <c r="L17" s="30">
        <f t="shared" si="0"/>
        <v>562</v>
      </c>
      <c r="M17" s="31">
        <f t="shared" si="1"/>
        <v>4.1485199675204844E-2</v>
      </c>
      <c r="N17" s="32">
        <f t="shared" si="2"/>
        <v>2</v>
      </c>
      <c r="O17" t="str">
        <f t="shared" si="3"/>
        <v>Night (21-05)</v>
      </c>
      <c r="P17" t="str">
        <f t="shared" si="4"/>
        <v>Tuesday</v>
      </c>
    </row>
    <row r="18" spans="1:16" ht="26.4" x14ac:dyDescent="0.25">
      <c r="A18" t="s">
        <v>119</v>
      </c>
      <c r="B18" s="29">
        <v>45790.291666666701</v>
      </c>
      <c r="C18" t="s">
        <v>74</v>
      </c>
      <c r="D18" t="s">
        <v>85</v>
      </c>
      <c r="E18" t="s">
        <v>94</v>
      </c>
      <c r="F18" s="34" t="s">
        <v>120</v>
      </c>
      <c r="G18" s="30">
        <v>9949</v>
      </c>
      <c r="H18" s="30">
        <v>667</v>
      </c>
      <c r="I18" s="30">
        <v>32</v>
      </c>
      <c r="J18" s="30">
        <v>97</v>
      </c>
      <c r="K18" s="30">
        <v>54</v>
      </c>
      <c r="L18" s="30">
        <f t="shared" si="0"/>
        <v>850</v>
      </c>
      <c r="M18" s="31">
        <f t="shared" si="1"/>
        <v>8.5435722183133986E-2</v>
      </c>
      <c r="N18" s="32">
        <f t="shared" si="2"/>
        <v>7</v>
      </c>
      <c r="O18" t="str">
        <f t="shared" si="3"/>
        <v>Morning (06-11)</v>
      </c>
      <c r="P18" t="str">
        <f t="shared" si="4"/>
        <v>Tuesday</v>
      </c>
    </row>
    <row r="19" spans="1:16" x14ac:dyDescent="0.25">
      <c r="A19" t="s">
        <v>121</v>
      </c>
      <c r="B19" s="29">
        <v>46057.75</v>
      </c>
      <c r="C19" t="s">
        <v>79</v>
      </c>
      <c r="D19" t="s">
        <v>80</v>
      </c>
      <c r="E19" t="s">
        <v>76</v>
      </c>
      <c r="F19" s="34" t="s">
        <v>122</v>
      </c>
      <c r="G19" s="30">
        <v>17469</v>
      </c>
      <c r="H19" s="30">
        <v>1350</v>
      </c>
      <c r="I19" s="30">
        <v>130</v>
      </c>
      <c r="J19" s="30">
        <v>78</v>
      </c>
      <c r="K19" s="30">
        <v>64</v>
      </c>
      <c r="L19" s="30">
        <f t="shared" si="0"/>
        <v>1622</v>
      </c>
      <c r="M19" s="31">
        <f t="shared" si="1"/>
        <v>9.2850191768275234E-2</v>
      </c>
      <c r="N19" s="32">
        <f t="shared" si="2"/>
        <v>18</v>
      </c>
      <c r="O19" t="str">
        <f t="shared" si="3"/>
        <v>Evening (17-20)</v>
      </c>
      <c r="P19" t="str">
        <f t="shared" si="4"/>
        <v>Wednesday</v>
      </c>
    </row>
    <row r="20" spans="1:16" x14ac:dyDescent="0.25">
      <c r="A20" t="s">
        <v>123</v>
      </c>
      <c r="B20" s="29">
        <v>46008.458333333299</v>
      </c>
      <c r="C20" t="s">
        <v>74</v>
      </c>
      <c r="D20" t="s">
        <v>80</v>
      </c>
      <c r="E20" t="s">
        <v>94</v>
      </c>
      <c r="F20" s="34" t="s">
        <v>124</v>
      </c>
      <c r="G20" s="30">
        <v>21735</v>
      </c>
      <c r="H20" s="30">
        <v>1548</v>
      </c>
      <c r="I20" s="30">
        <v>100</v>
      </c>
      <c r="J20" s="30">
        <v>232</v>
      </c>
      <c r="K20" s="30">
        <v>130</v>
      </c>
      <c r="L20" s="30">
        <f t="shared" si="0"/>
        <v>2010</v>
      </c>
      <c r="M20" s="31">
        <f t="shared" si="1"/>
        <v>9.2477570738440304E-2</v>
      </c>
      <c r="N20" s="32">
        <f t="shared" si="2"/>
        <v>11</v>
      </c>
      <c r="O20" t="str">
        <f t="shared" si="3"/>
        <v>Morning (06-11)</v>
      </c>
      <c r="P20" t="str">
        <f t="shared" si="4"/>
        <v>Wednesday</v>
      </c>
    </row>
    <row r="21" spans="1:16" ht="26.4" x14ac:dyDescent="0.25">
      <c r="A21" t="s">
        <v>125</v>
      </c>
      <c r="B21" s="29">
        <v>46017.916666666701</v>
      </c>
      <c r="C21" t="s">
        <v>74</v>
      </c>
      <c r="D21" t="s">
        <v>80</v>
      </c>
      <c r="E21" t="s">
        <v>91</v>
      </c>
      <c r="F21" s="34" t="s">
        <v>126</v>
      </c>
      <c r="G21" s="30">
        <v>68471</v>
      </c>
      <c r="H21" s="30">
        <v>4697</v>
      </c>
      <c r="I21" s="30">
        <v>135</v>
      </c>
      <c r="J21" s="30">
        <v>672</v>
      </c>
      <c r="K21" s="30">
        <v>115</v>
      </c>
      <c r="L21" s="30">
        <f t="shared" si="0"/>
        <v>5619</v>
      </c>
      <c r="M21" s="31">
        <f t="shared" si="1"/>
        <v>8.206393947802719E-2</v>
      </c>
      <c r="N21" s="32">
        <f t="shared" si="2"/>
        <v>22</v>
      </c>
      <c r="O21" t="str">
        <f t="shared" si="3"/>
        <v>Night (21-05)</v>
      </c>
      <c r="P21" t="str">
        <f t="shared" si="4"/>
        <v>Friday</v>
      </c>
    </row>
    <row r="22" spans="1:16" ht="26.4" x14ac:dyDescent="0.25">
      <c r="A22" t="s">
        <v>127</v>
      </c>
      <c r="B22" s="29">
        <v>45815.5</v>
      </c>
      <c r="C22" t="s">
        <v>74</v>
      </c>
      <c r="D22" t="s">
        <v>128</v>
      </c>
      <c r="E22" t="s">
        <v>111</v>
      </c>
      <c r="F22" s="34" t="s">
        <v>129</v>
      </c>
      <c r="G22" s="30">
        <v>19613</v>
      </c>
      <c r="H22" s="30">
        <v>1565</v>
      </c>
      <c r="I22" s="30">
        <v>129</v>
      </c>
      <c r="J22" s="30">
        <v>147</v>
      </c>
      <c r="K22" s="30">
        <v>145</v>
      </c>
      <c r="L22" s="30">
        <f t="shared" si="0"/>
        <v>1986</v>
      </c>
      <c r="M22" s="31">
        <f t="shared" si="1"/>
        <v>0.10125936878600927</v>
      </c>
      <c r="N22" s="32">
        <f t="shared" si="2"/>
        <v>12</v>
      </c>
      <c r="O22" t="str">
        <f t="shared" si="3"/>
        <v>Afternoon (12-16)</v>
      </c>
      <c r="P22" t="str">
        <f t="shared" si="4"/>
        <v>Saturday</v>
      </c>
    </row>
    <row r="23" spans="1:16" x14ac:dyDescent="0.25">
      <c r="A23" t="s">
        <v>130</v>
      </c>
      <c r="B23" s="29">
        <v>45932.875</v>
      </c>
      <c r="C23" t="s">
        <v>79</v>
      </c>
      <c r="D23" t="s">
        <v>80</v>
      </c>
      <c r="E23" t="s">
        <v>131</v>
      </c>
      <c r="F23" s="34" t="s">
        <v>132</v>
      </c>
      <c r="G23" s="30">
        <v>33858</v>
      </c>
      <c r="H23" s="30">
        <v>2948</v>
      </c>
      <c r="I23" s="30">
        <v>112</v>
      </c>
      <c r="J23" s="30">
        <v>32</v>
      </c>
      <c r="K23" s="30">
        <v>134</v>
      </c>
      <c r="L23" s="30">
        <f t="shared" si="0"/>
        <v>3226</v>
      </c>
      <c r="M23" s="31">
        <f t="shared" si="1"/>
        <v>9.52802882627444E-2</v>
      </c>
      <c r="N23" s="32">
        <f t="shared" si="2"/>
        <v>21</v>
      </c>
      <c r="O23" t="str">
        <f t="shared" si="3"/>
        <v>Night (21-05)</v>
      </c>
      <c r="P23" t="str">
        <f t="shared" si="4"/>
        <v>Thursday</v>
      </c>
    </row>
    <row r="24" spans="1:16" ht="26.4" x14ac:dyDescent="0.25">
      <c r="A24" t="s">
        <v>133</v>
      </c>
      <c r="B24" s="29">
        <v>45988</v>
      </c>
      <c r="C24" t="s">
        <v>74</v>
      </c>
      <c r="D24" t="s">
        <v>80</v>
      </c>
      <c r="E24" t="s">
        <v>131</v>
      </c>
      <c r="F24" s="34" t="s">
        <v>134</v>
      </c>
      <c r="G24" s="30">
        <v>18795</v>
      </c>
      <c r="H24" s="30">
        <v>1677</v>
      </c>
      <c r="I24" s="30">
        <v>72</v>
      </c>
      <c r="J24" s="30">
        <v>237</v>
      </c>
      <c r="K24" s="30">
        <v>72</v>
      </c>
      <c r="L24" s="30">
        <f t="shared" si="0"/>
        <v>2058</v>
      </c>
      <c r="M24" s="31">
        <f t="shared" si="1"/>
        <v>0.10949720670391061</v>
      </c>
      <c r="N24" s="32">
        <f t="shared" si="2"/>
        <v>0</v>
      </c>
      <c r="O24" t="str">
        <f t="shared" si="3"/>
        <v>Night (21-05)</v>
      </c>
      <c r="P24" t="str">
        <f t="shared" si="4"/>
        <v>Thursday</v>
      </c>
    </row>
    <row r="25" spans="1:16" x14ac:dyDescent="0.25">
      <c r="A25" t="s">
        <v>135</v>
      </c>
      <c r="B25" s="29">
        <v>45974.166666666701</v>
      </c>
      <c r="C25" t="s">
        <v>74</v>
      </c>
      <c r="D25" t="s">
        <v>80</v>
      </c>
      <c r="E25" t="s">
        <v>76</v>
      </c>
      <c r="F25" s="34" t="s">
        <v>136</v>
      </c>
      <c r="G25" s="30">
        <v>8485</v>
      </c>
      <c r="H25" s="30">
        <v>281</v>
      </c>
      <c r="I25" s="30">
        <v>19</v>
      </c>
      <c r="J25" s="30">
        <v>5</v>
      </c>
      <c r="K25" s="30">
        <v>11</v>
      </c>
      <c r="L25" s="30">
        <f t="shared" si="0"/>
        <v>316</v>
      </c>
      <c r="M25" s="31">
        <f t="shared" si="1"/>
        <v>3.7242192103712435E-2</v>
      </c>
      <c r="N25" s="32">
        <f t="shared" si="2"/>
        <v>4</v>
      </c>
      <c r="O25" t="str">
        <f t="shared" si="3"/>
        <v>Night (21-05)</v>
      </c>
      <c r="P25" t="str">
        <f t="shared" si="4"/>
        <v>Thursday</v>
      </c>
    </row>
    <row r="26" spans="1:16" ht="26.4" x14ac:dyDescent="0.25">
      <c r="A26" t="s">
        <v>137</v>
      </c>
      <c r="B26" s="29">
        <v>46065.25</v>
      </c>
      <c r="C26" t="s">
        <v>79</v>
      </c>
      <c r="D26" t="s">
        <v>75</v>
      </c>
      <c r="E26" t="s">
        <v>81</v>
      </c>
      <c r="F26" s="34" t="s">
        <v>138</v>
      </c>
      <c r="G26" s="30">
        <v>11054</v>
      </c>
      <c r="H26" s="30">
        <v>372</v>
      </c>
      <c r="I26" s="30">
        <v>15</v>
      </c>
      <c r="J26" s="30">
        <v>13</v>
      </c>
      <c r="K26" s="30">
        <v>14</v>
      </c>
      <c r="L26" s="30">
        <f t="shared" si="0"/>
        <v>414</v>
      </c>
      <c r="M26" s="31">
        <f t="shared" si="1"/>
        <v>3.7452505880224356E-2</v>
      </c>
      <c r="N26" s="32">
        <f t="shared" si="2"/>
        <v>6</v>
      </c>
      <c r="O26" t="str">
        <f t="shared" si="3"/>
        <v>Morning (06-11)</v>
      </c>
      <c r="P26" t="str">
        <f t="shared" si="4"/>
        <v>Thursday</v>
      </c>
    </row>
    <row r="27" spans="1:16" ht="26.4" x14ac:dyDescent="0.25">
      <c r="A27" t="s">
        <v>139</v>
      </c>
      <c r="B27" s="29">
        <v>45851.333333333299</v>
      </c>
      <c r="C27" t="s">
        <v>79</v>
      </c>
      <c r="D27" t="s">
        <v>128</v>
      </c>
      <c r="E27" t="s">
        <v>76</v>
      </c>
      <c r="F27" s="34" t="s">
        <v>140</v>
      </c>
      <c r="G27" s="30">
        <v>7452</v>
      </c>
      <c r="H27" s="30">
        <v>432</v>
      </c>
      <c r="I27" s="30">
        <v>20</v>
      </c>
      <c r="J27" s="30">
        <v>28</v>
      </c>
      <c r="K27" s="30">
        <v>15</v>
      </c>
      <c r="L27" s="30">
        <f t="shared" si="0"/>
        <v>495</v>
      </c>
      <c r="M27" s="31">
        <f t="shared" si="1"/>
        <v>6.6425120772946863E-2</v>
      </c>
      <c r="N27" s="32">
        <f t="shared" si="2"/>
        <v>8</v>
      </c>
      <c r="O27" t="str">
        <f t="shared" si="3"/>
        <v>Morning (06-11)</v>
      </c>
      <c r="P27" t="str">
        <f t="shared" si="4"/>
        <v>Sunday</v>
      </c>
    </row>
    <row r="28" spans="1:16" x14ac:dyDescent="0.25">
      <c r="A28" t="s">
        <v>141</v>
      </c>
      <c r="B28" s="29">
        <v>46055.833333333299</v>
      </c>
      <c r="C28" t="s">
        <v>84</v>
      </c>
      <c r="D28" t="s">
        <v>75</v>
      </c>
      <c r="E28" t="s">
        <v>111</v>
      </c>
      <c r="F28" s="34" t="s">
        <v>142</v>
      </c>
      <c r="G28" s="30">
        <v>28071</v>
      </c>
      <c r="H28" s="30">
        <v>1888</v>
      </c>
      <c r="I28" s="30">
        <v>133</v>
      </c>
      <c r="J28" s="30">
        <v>45</v>
      </c>
      <c r="K28" s="30">
        <v>193</v>
      </c>
      <c r="L28" s="30">
        <f t="shared" si="0"/>
        <v>2259</v>
      </c>
      <c r="M28" s="31">
        <f t="shared" si="1"/>
        <v>8.0474511061237583E-2</v>
      </c>
      <c r="N28" s="32">
        <f t="shared" si="2"/>
        <v>20</v>
      </c>
      <c r="O28" t="str">
        <f t="shared" si="3"/>
        <v>Evening (17-20)</v>
      </c>
      <c r="P28" t="str">
        <f t="shared" si="4"/>
        <v>Monday</v>
      </c>
    </row>
    <row r="29" spans="1:16" x14ac:dyDescent="0.25">
      <c r="A29" t="s">
        <v>143</v>
      </c>
      <c r="B29" s="29">
        <v>45922.916666666701</v>
      </c>
      <c r="C29" t="s">
        <v>74</v>
      </c>
      <c r="D29" t="s">
        <v>85</v>
      </c>
      <c r="E29" t="s">
        <v>111</v>
      </c>
      <c r="F29" s="34" t="s">
        <v>144</v>
      </c>
      <c r="G29" s="30">
        <v>25268</v>
      </c>
      <c r="H29" s="30">
        <v>1990</v>
      </c>
      <c r="I29" s="30">
        <v>160</v>
      </c>
      <c r="J29" s="30">
        <v>268</v>
      </c>
      <c r="K29" s="30">
        <v>182</v>
      </c>
      <c r="L29" s="30">
        <f t="shared" si="0"/>
        <v>2600</v>
      </c>
      <c r="M29" s="31">
        <f t="shared" si="1"/>
        <v>0.10289694475225582</v>
      </c>
      <c r="N29" s="32">
        <f t="shared" si="2"/>
        <v>22</v>
      </c>
      <c r="O29" t="str">
        <f t="shared" si="3"/>
        <v>Night (21-05)</v>
      </c>
      <c r="P29" t="str">
        <f t="shared" si="4"/>
        <v>Monday</v>
      </c>
    </row>
    <row r="30" spans="1:16" ht="26.4" x14ac:dyDescent="0.25">
      <c r="A30" t="s">
        <v>145</v>
      </c>
      <c r="B30" s="29">
        <v>45866.208333333299</v>
      </c>
      <c r="C30" t="s">
        <v>74</v>
      </c>
      <c r="D30" t="s">
        <v>75</v>
      </c>
      <c r="E30" t="s">
        <v>94</v>
      </c>
      <c r="F30" s="34" t="s">
        <v>146</v>
      </c>
      <c r="G30" s="30">
        <v>13827</v>
      </c>
      <c r="H30" s="30">
        <v>1221</v>
      </c>
      <c r="I30" s="30">
        <v>77</v>
      </c>
      <c r="J30" s="30">
        <v>121</v>
      </c>
      <c r="K30" s="30">
        <v>75</v>
      </c>
      <c r="L30" s="30">
        <f t="shared" si="0"/>
        <v>1494</v>
      </c>
      <c r="M30" s="31">
        <f t="shared" si="1"/>
        <v>0.10804946843133001</v>
      </c>
      <c r="N30" s="32">
        <f t="shared" si="2"/>
        <v>5</v>
      </c>
      <c r="O30" t="str">
        <f t="shared" si="3"/>
        <v>Night (21-05)</v>
      </c>
      <c r="P30" t="str">
        <f t="shared" si="4"/>
        <v>Monday</v>
      </c>
    </row>
    <row r="31" spans="1:16" x14ac:dyDescent="0.25">
      <c r="A31" t="s">
        <v>147</v>
      </c>
      <c r="B31" s="29">
        <v>46083.708333333299</v>
      </c>
      <c r="C31" t="s">
        <v>84</v>
      </c>
      <c r="D31" t="s">
        <v>80</v>
      </c>
      <c r="E31" t="s">
        <v>88</v>
      </c>
      <c r="F31" s="34" t="s">
        <v>148</v>
      </c>
      <c r="G31" s="30">
        <v>27234</v>
      </c>
      <c r="H31" s="30">
        <v>2124</v>
      </c>
      <c r="I31" s="30">
        <v>209</v>
      </c>
      <c r="J31" s="30">
        <v>256</v>
      </c>
      <c r="K31" s="30">
        <v>154</v>
      </c>
      <c r="L31" s="30">
        <f t="shared" si="0"/>
        <v>2743</v>
      </c>
      <c r="M31" s="31">
        <f t="shared" si="1"/>
        <v>0.10071968862451347</v>
      </c>
      <c r="N31" s="32">
        <f t="shared" si="2"/>
        <v>17</v>
      </c>
      <c r="O31" t="str">
        <f t="shared" si="3"/>
        <v>Evening (17-20)</v>
      </c>
      <c r="P31" t="str">
        <f t="shared" si="4"/>
        <v>Monday</v>
      </c>
    </row>
    <row r="32" spans="1:16" x14ac:dyDescent="0.25">
      <c r="A32" t="s">
        <v>149</v>
      </c>
      <c r="B32" s="29">
        <v>45750.291666666701</v>
      </c>
      <c r="C32" t="s">
        <v>74</v>
      </c>
      <c r="D32" t="s">
        <v>80</v>
      </c>
      <c r="E32" t="s">
        <v>111</v>
      </c>
      <c r="F32" s="34" t="s">
        <v>150</v>
      </c>
      <c r="G32" s="30">
        <v>60749</v>
      </c>
      <c r="H32" s="30">
        <v>2248</v>
      </c>
      <c r="I32" s="30">
        <v>165</v>
      </c>
      <c r="J32" s="30">
        <v>87</v>
      </c>
      <c r="K32" s="30">
        <v>515</v>
      </c>
      <c r="L32" s="30">
        <f t="shared" si="0"/>
        <v>3015</v>
      </c>
      <c r="M32" s="31">
        <f t="shared" si="1"/>
        <v>4.9630446591713444E-2</v>
      </c>
      <c r="N32" s="32">
        <f t="shared" si="2"/>
        <v>7</v>
      </c>
      <c r="O32" t="str">
        <f t="shared" si="3"/>
        <v>Morning (06-11)</v>
      </c>
      <c r="P32" t="str">
        <f t="shared" si="4"/>
        <v>Thursday</v>
      </c>
    </row>
    <row r="33" spans="1:16" x14ac:dyDescent="0.25">
      <c r="A33" t="s">
        <v>151</v>
      </c>
      <c r="B33" s="29">
        <v>45769.875</v>
      </c>
      <c r="C33" t="s">
        <v>74</v>
      </c>
      <c r="D33" t="s">
        <v>80</v>
      </c>
      <c r="E33" t="s">
        <v>94</v>
      </c>
      <c r="F33" s="34" t="s">
        <v>152</v>
      </c>
      <c r="G33" s="30">
        <v>34527</v>
      </c>
      <c r="H33" s="30">
        <v>1925</v>
      </c>
      <c r="I33" s="30">
        <v>95</v>
      </c>
      <c r="J33" s="30">
        <v>126</v>
      </c>
      <c r="K33" s="30">
        <v>206</v>
      </c>
      <c r="L33" s="30">
        <f t="shared" si="0"/>
        <v>2352</v>
      </c>
      <c r="M33" s="31">
        <f t="shared" si="1"/>
        <v>6.8120601268572417E-2</v>
      </c>
      <c r="N33" s="32">
        <f t="shared" si="2"/>
        <v>21</v>
      </c>
      <c r="O33" t="str">
        <f t="shared" si="3"/>
        <v>Night (21-05)</v>
      </c>
      <c r="P33" t="str">
        <f t="shared" si="4"/>
        <v>Tuesday</v>
      </c>
    </row>
    <row r="34" spans="1:16" x14ac:dyDescent="0.25">
      <c r="A34" t="s">
        <v>153</v>
      </c>
      <c r="B34" s="29">
        <v>45838.208333333299</v>
      </c>
      <c r="C34" t="s">
        <v>74</v>
      </c>
      <c r="D34" t="s">
        <v>80</v>
      </c>
      <c r="E34" t="s">
        <v>81</v>
      </c>
      <c r="F34" s="34" t="s">
        <v>154</v>
      </c>
      <c r="G34" s="30">
        <v>17244</v>
      </c>
      <c r="H34" s="30">
        <v>651</v>
      </c>
      <c r="I34" s="30">
        <v>29</v>
      </c>
      <c r="J34" s="30">
        <v>78</v>
      </c>
      <c r="K34" s="30">
        <v>107</v>
      </c>
      <c r="L34" s="30">
        <f t="shared" si="0"/>
        <v>865</v>
      </c>
      <c r="M34" s="31">
        <f t="shared" si="1"/>
        <v>5.016237531895152E-2</v>
      </c>
      <c r="N34" s="32">
        <f t="shared" si="2"/>
        <v>5</v>
      </c>
      <c r="O34" t="str">
        <f t="shared" si="3"/>
        <v>Night (21-05)</v>
      </c>
      <c r="P34" t="str">
        <f t="shared" si="4"/>
        <v>Monday</v>
      </c>
    </row>
    <row r="35" spans="1:16" ht="26.4" x14ac:dyDescent="0.25">
      <c r="A35" t="s">
        <v>155</v>
      </c>
      <c r="B35" s="29">
        <v>45921.875</v>
      </c>
      <c r="C35" t="s">
        <v>74</v>
      </c>
      <c r="D35" t="s">
        <v>80</v>
      </c>
      <c r="E35" t="s">
        <v>115</v>
      </c>
      <c r="F35" s="34" t="s">
        <v>156</v>
      </c>
      <c r="G35" s="30">
        <v>11647</v>
      </c>
      <c r="H35" s="30">
        <v>482</v>
      </c>
      <c r="I35" s="30">
        <v>38</v>
      </c>
      <c r="J35" s="30">
        <v>47</v>
      </c>
      <c r="K35" s="30">
        <v>72</v>
      </c>
      <c r="L35" s="30">
        <f t="shared" si="0"/>
        <v>639</v>
      </c>
      <c r="M35" s="31">
        <f t="shared" si="1"/>
        <v>5.4863913454108355E-2</v>
      </c>
      <c r="N35" s="32">
        <f t="shared" si="2"/>
        <v>21</v>
      </c>
      <c r="O35" t="str">
        <f t="shared" si="3"/>
        <v>Night (21-05)</v>
      </c>
      <c r="P35" t="str">
        <f t="shared" si="4"/>
        <v>Sunday</v>
      </c>
    </row>
    <row r="36" spans="1:16" x14ac:dyDescent="0.25">
      <c r="A36" t="s">
        <v>157</v>
      </c>
      <c r="B36" s="29">
        <v>45855.666666666701</v>
      </c>
      <c r="C36" t="s">
        <v>74</v>
      </c>
      <c r="D36" t="s">
        <v>80</v>
      </c>
      <c r="E36" t="s">
        <v>94</v>
      </c>
      <c r="F36" s="34" t="s">
        <v>103</v>
      </c>
      <c r="G36" s="30">
        <v>28297</v>
      </c>
      <c r="H36" s="30">
        <v>1952</v>
      </c>
      <c r="I36" s="30">
        <v>113</v>
      </c>
      <c r="J36" s="30">
        <v>102</v>
      </c>
      <c r="K36" s="30">
        <v>51</v>
      </c>
      <c r="L36" s="30">
        <f t="shared" si="0"/>
        <v>2218</v>
      </c>
      <c r="M36" s="31">
        <f t="shared" si="1"/>
        <v>7.8382867441778276E-2</v>
      </c>
      <c r="N36" s="32">
        <f t="shared" si="2"/>
        <v>16</v>
      </c>
      <c r="O36" t="str">
        <f t="shared" si="3"/>
        <v>Afternoon (12-16)</v>
      </c>
      <c r="P36" t="str">
        <f t="shared" si="4"/>
        <v>Thursday</v>
      </c>
    </row>
    <row r="37" spans="1:16" ht="26.4" x14ac:dyDescent="0.25">
      <c r="A37" t="s">
        <v>158</v>
      </c>
      <c r="B37" s="29">
        <v>45884.875</v>
      </c>
      <c r="C37" t="s">
        <v>74</v>
      </c>
      <c r="D37" t="s">
        <v>75</v>
      </c>
      <c r="E37" t="s">
        <v>111</v>
      </c>
      <c r="F37" s="34" t="s">
        <v>107</v>
      </c>
      <c r="G37" s="30">
        <v>14981</v>
      </c>
      <c r="H37" s="30">
        <v>1328</v>
      </c>
      <c r="I37" s="30">
        <v>71</v>
      </c>
      <c r="J37" s="30">
        <v>183</v>
      </c>
      <c r="K37" s="30">
        <v>91</v>
      </c>
      <c r="L37" s="30">
        <f t="shared" si="0"/>
        <v>1673</v>
      </c>
      <c r="M37" s="31">
        <f t="shared" si="1"/>
        <v>0.11167478806488218</v>
      </c>
      <c r="N37" s="32">
        <f t="shared" si="2"/>
        <v>21</v>
      </c>
      <c r="O37" t="str">
        <f t="shared" si="3"/>
        <v>Night (21-05)</v>
      </c>
      <c r="P37" t="str">
        <f t="shared" si="4"/>
        <v>Friday</v>
      </c>
    </row>
    <row r="38" spans="1:16" ht="26.4" x14ac:dyDescent="0.25">
      <c r="A38" t="s">
        <v>159</v>
      </c>
      <c r="B38" s="29">
        <v>45862.166666666701</v>
      </c>
      <c r="C38" t="s">
        <v>74</v>
      </c>
      <c r="D38" t="s">
        <v>80</v>
      </c>
      <c r="E38" t="s">
        <v>91</v>
      </c>
      <c r="F38" s="34" t="s">
        <v>160</v>
      </c>
      <c r="G38" s="30">
        <v>9444</v>
      </c>
      <c r="H38" s="30">
        <v>729</v>
      </c>
      <c r="I38" s="30">
        <v>64</v>
      </c>
      <c r="J38" s="30">
        <v>91</v>
      </c>
      <c r="K38" s="30">
        <v>89</v>
      </c>
      <c r="L38" s="30">
        <f t="shared" si="0"/>
        <v>973</v>
      </c>
      <c r="M38" s="31">
        <f t="shared" si="1"/>
        <v>0.1030283778060144</v>
      </c>
      <c r="N38" s="32">
        <f t="shared" si="2"/>
        <v>4</v>
      </c>
      <c r="O38" t="str">
        <f t="shared" si="3"/>
        <v>Night (21-05)</v>
      </c>
      <c r="P38" t="str">
        <f t="shared" si="4"/>
        <v>Thursday</v>
      </c>
    </row>
    <row r="39" spans="1:16" x14ac:dyDescent="0.25">
      <c r="A39" t="s">
        <v>161</v>
      </c>
      <c r="B39" s="29">
        <v>45974.166666666701</v>
      </c>
      <c r="C39" t="s">
        <v>84</v>
      </c>
      <c r="D39" t="s">
        <v>75</v>
      </c>
      <c r="E39" t="s">
        <v>81</v>
      </c>
      <c r="F39" s="34" t="s">
        <v>162</v>
      </c>
      <c r="G39" s="30">
        <v>23858</v>
      </c>
      <c r="H39" s="30">
        <v>2098</v>
      </c>
      <c r="I39" s="30">
        <v>174</v>
      </c>
      <c r="J39" s="30">
        <v>71</v>
      </c>
      <c r="K39" s="30">
        <v>43</v>
      </c>
      <c r="L39" s="30">
        <f t="shared" si="0"/>
        <v>2386</v>
      </c>
      <c r="M39" s="31">
        <f t="shared" si="1"/>
        <v>0.10000838293234973</v>
      </c>
      <c r="N39" s="32">
        <f t="shared" si="2"/>
        <v>4</v>
      </c>
      <c r="O39" t="str">
        <f t="shared" si="3"/>
        <v>Night (21-05)</v>
      </c>
      <c r="P39" t="str">
        <f t="shared" si="4"/>
        <v>Thursday</v>
      </c>
    </row>
    <row r="40" spans="1:16" x14ac:dyDescent="0.25">
      <c r="A40" t="s">
        <v>163</v>
      </c>
      <c r="B40" s="29">
        <v>45995.333333333299</v>
      </c>
      <c r="C40" t="s">
        <v>79</v>
      </c>
      <c r="D40" t="s">
        <v>97</v>
      </c>
      <c r="E40" t="s">
        <v>131</v>
      </c>
      <c r="F40" s="34" t="s">
        <v>82</v>
      </c>
      <c r="G40" s="30">
        <v>12155</v>
      </c>
      <c r="H40" s="30">
        <v>794</v>
      </c>
      <c r="I40" s="30">
        <v>25</v>
      </c>
      <c r="J40" s="30">
        <v>10</v>
      </c>
      <c r="K40" s="30">
        <v>94</v>
      </c>
      <c r="L40" s="30">
        <f t="shared" si="0"/>
        <v>923</v>
      </c>
      <c r="M40" s="31">
        <f t="shared" si="1"/>
        <v>7.5935828877005354E-2</v>
      </c>
      <c r="N40" s="32">
        <f t="shared" si="2"/>
        <v>8</v>
      </c>
      <c r="O40" t="str">
        <f t="shared" si="3"/>
        <v>Morning (06-11)</v>
      </c>
      <c r="P40" t="str">
        <f t="shared" si="4"/>
        <v>Thursday</v>
      </c>
    </row>
    <row r="41" spans="1:16" x14ac:dyDescent="0.25">
      <c r="A41" t="s">
        <v>164</v>
      </c>
      <c r="B41" s="29">
        <v>45958.833333333299</v>
      </c>
      <c r="C41" t="s">
        <v>74</v>
      </c>
      <c r="D41" t="s">
        <v>85</v>
      </c>
      <c r="E41" t="s">
        <v>76</v>
      </c>
      <c r="F41" s="34" t="s">
        <v>165</v>
      </c>
      <c r="G41" s="30">
        <v>11555</v>
      </c>
      <c r="H41" s="30">
        <v>662</v>
      </c>
      <c r="I41" s="30">
        <v>54</v>
      </c>
      <c r="J41" s="30">
        <v>20</v>
      </c>
      <c r="K41" s="30">
        <v>99</v>
      </c>
      <c r="L41" s="30">
        <f t="shared" si="0"/>
        <v>835</v>
      </c>
      <c r="M41" s="31">
        <f t="shared" si="1"/>
        <v>7.2263089571614023E-2</v>
      </c>
      <c r="N41" s="32">
        <f t="shared" si="2"/>
        <v>20</v>
      </c>
      <c r="O41" t="str">
        <f t="shared" si="3"/>
        <v>Evening (17-20)</v>
      </c>
      <c r="P41" t="str">
        <f t="shared" si="4"/>
        <v>Tuesday</v>
      </c>
    </row>
    <row r="42" spans="1:16" x14ac:dyDescent="0.25">
      <c r="A42" t="s">
        <v>166</v>
      </c>
      <c r="B42" s="29">
        <v>45963.291666666701</v>
      </c>
      <c r="C42" t="s">
        <v>74</v>
      </c>
      <c r="D42" t="s">
        <v>97</v>
      </c>
      <c r="E42" t="s">
        <v>115</v>
      </c>
      <c r="F42" s="34" t="s">
        <v>167</v>
      </c>
      <c r="G42" s="30">
        <v>2278</v>
      </c>
      <c r="H42" s="30">
        <v>171</v>
      </c>
      <c r="I42" s="30">
        <v>13</v>
      </c>
      <c r="J42" s="30">
        <v>10</v>
      </c>
      <c r="K42" s="30">
        <v>8</v>
      </c>
      <c r="L42" s="30">
        <f t="shared" si="0"/>
        <v>202</v>
      </c>
      <c r="M42" s="31">
        <f t="shared" si="1"/>
        <v>8.8674275680421424E-2</v>
      </c>
      <c r="N42" s="32">
        <f t="shared" si="2"/>
        <v>7</v>
      </c>
      <c r="O42" t="str">
        <f t="shared" si="3"/>
        <v>Morning (06-11)</v>
      </c>
      <c r="P42" t="str">
        <f t="shared" si="4"/>
        <v>Sunday</v>
      </c>
    </row>
    <row r="43" spans="1:16" ht="26.4" x14ac:dyDescent="0.25">
      <c r="A43" t="s">
        <v>168</v>
      </c>
      <c r="B43" s="29">
        <v>45781.958333333299</v>
      </c>
      <c r="C43" t="s">
        <v>100</v>
      </c>
      <c r="D43" t="s">
        <v>75</v>
      </c>
      <c r="E43" t="s">
        <v>88</v>
      </c>
      <c r="F43" s="34" t="s">
        <v>120</v>
      </c>
      <c r="G43" s="30">
        <v>11380</v>
      </c>
      <c r="H43" s="30">
        <v>838</v>
      </c>
      <c r="I43" s="30">
        <v>66</v>
      </c>
      <c r="J43" s="30">
        <v>109</v>
      </c>
      <c r="K43" s="30">
        <v>92</v>
      </c>
      <c r="L43" s="30">
        <f t="shared" si="0"/>
        <v>1105</v>
      </c>
      <c r="M43" s="31">
        <f t="shared" si="1"/>
        <v>9.7100175746924422E-2</v>
      </c>
      <c r="N43" s="32">
        <f t="shared" si="2"/>
        <v>23</v>
      </c>
      <c r="O43" t="str">
        <f t="shared" si="3"/>
        <v>Night (21-05)</v>
      </c>
      <c r="P43" t="str">
        <f t="shared" si="4"/>
        <v>Sunday</v>
      </c>
    </row>
    <row r="44" spans="1:16" x14ac:dyDescent="0.25">
      <c r="A44" t="s">
        <v>169</v>
      </c>
      <c r="B44" s="29">
        <v>46002.791666666701</v>
      </c>
      <c r="C44" t="s">
        <v>79</v>
      </c>
      <c r="D44" t="s">
        <v>80</v>
      </c>
      <c r="E44" t="s">
        <v>115</v>
      </c>
      <c r="F44" s="34" t="s">
        <v>170</v>
      </c>
      <c r="G44" s="30">
        <v>16473</v>
      </c>
      <c r="H44" s="30">
        <v>757</v>
      </c>
      <c r="I44" s="30">
        <v>29</v>
      </c>
      <c r="J44" s="30">
        <v>61</v>
      </c>
      <c r="K44" s="30">
        <v>95</v>
      </c>
      <c r="L44" s="30">
        <f t="shared" si="0"/>
        <v>942</v>
      </c>
      <c r="M44" s="31">
        <f t="shared" si="1"/>
        <v>5.7184483700600981E-2</v>
      </c>
      <c r="N44" s="32">
        <f t="shared" si="2"/>
        <v>19</v>
      </c>
      <c r="O44" t="str">
        <f t="shared" si="3"/>
        <v>Evening (17-20)</v>
      </c>
      <c r="P44" t="str">
        <f t="shared" si="4"/>
        <v>Thursday</v>
      </c>
    </row>
    <row r="45" spans="1:16" ht="26.4" x14ac:dyDescent="0.25">
      <c r="A45" t="s">
        <v>171</v>
      </c>
      <c r="B45" s="29">
        <v>46048.458333333299</v>
      </c>
      <c r="C45" t="s">
        <v>74</v>
      </c>
      <c r="D45" t="s">
        <v>128</v>
      </c>
      <c r="E45" t="s">
        <v>81</v>
      </c>
      <c r="F45" s="34" t="s">
        <v>172</v>
      </c>
      <c r="G45" s="30">
        <v>7632</v>
      </c>
      <c r="H45" s="30">
        <v>230</v>
      </c>
      <c r="I45" s="30">
        <v>16</v>
      </c>
      <c r="J45" s="30">
        <v>3</v>
      </c>
      <c r="K45" s="30">
        <v>14</v>
      </c>
      <c r="L45" s="30">
        <f t="shared" si="0"/>
        <v>263</v>
      </c>
      <c r="M45" s="31">
        <f t="shared" si="1"/>
        <v>3.4460167714884693E-2</v>
      </c>
      <c r="N45" s="32">
        <f t="shared" si="2"/>
        <v>11</v>
      </c>
      <c r="O45" t="str">
        <f t="shared" si="3"/>
        <v>Morning (06-11)</v>
      </c>
      <c r="P45" t="str">
        <f t="shared" si="4"/>
        <v>Monday</v>
      </c>
    </row>
    <row r="46" spans="1:16" x14ac:dyDescent="0.25">
      <c r="A46" t="s">
        <v>173</v>
      </c>
      <c r="B46" s="29">
        <v>45794.125</v>
      </c>
      <c r="C46" t="s">
        <v>74</v>
      </c>
      <c r="D46" t="s">
        <v>85</v>
      </c>
      <c r="E46" t="s">
        <v>94</v>
      </c>
      <c r="F46" s="34" t="s">
        <v>174</v>
      </c>
      <c r="G46" s="30">
        <v>7475</v>
      </c>
      <c r="H46" s="30">
        <v>270</v>
      </c>
      <c r="I46" s="30">
        <v>10</v>
      </c>
      <c r="J46" s="30">
        <v>14</v>
      </c>
      <c r="K46" s="30">
        <v>14</v>
      </c>
      <c r="L46" s="30">
        <f t="shared" si="0"/>
        <v>308</v>
      </c>
      <c r="M46" s="31">
        <f t="shared" si="1"/>
        <v>4.1204013377926424E-2</v>
      </c>
      <c r="N46" s="32">
        <f t="shared" si="2"/>
        <v>3</v>
      </c>
      <c r="O46" t="str">
        <f t="shared" si="3"/>
        <v>Night (21-05)</v>
      </c>
      <c r="P46" t="str">
        <f t="shared" si="4"/>
        <v>Saturday</v>
      </c>
    </row>
    <row r="47" spans="1:16" x14ac:dyDescent="0.25">
      <c r="A47" t="s">
        <v>175</v>
      </c>
      <c r="B47" s="29">
        <v>45976.166666666701</v>
      </c>
      <c r="C47" t="s">
        <v>100</v>
      </c>
      <c r="D47" t="s">
        <v>97</v>
      </c>
      <c r="E47" t="s">
        <v>88</v>
      </c>
      <c r="F47" s="34" t="s">
        <v>176</v>
      </c>
      <c r="G47" s="30">
        <v>2538</v>
      </c>
      <c r="H47" s="30">
        <v>103</v>
      </c>
      <c r="I47" s="30">
        <v>7</v>
      </c>
      <c r="J47" s="30">
        <v>10</v>
      </c>
      <c r="K47" s="30">
        <v>19</v>
      </c>
      <c r="L47" s="30">
        <f t="shared" si="0"/>
        <v>139</v>
      </c>
      <c r="M47" s="31">
        <f t="shared" si="1"/>
        <v>5.4767533490937749E-2</v>
      </c>
      <c r="N47" s="32">
        <f t="shared" si="2"/>
        <v>4</v>
      </c>
      <c r="O47" t="str">
        <f t="shared" si="3"/>
        <v>Night (21-05)</v>
      </c>
      <c r="P47" t="str">
        <f t="shared" si="4"/>
        <v>Saturday</v>
      </c>
    </row>
    <row r="48" spans="1:16" ht="26.4" x14ac:dyDescent="0.25">
      <c r="A48" t="s">
        <v>177</v>
      </c>
      <c r="B48" s="29">
        <v>45911.666666666701</v>
      </c>
      <c r="C48" t="s">
        <v>79</v>
      </c>
      <c r="D48" t="s">
        <v>75</v>
      </c>
      <c r="E48" t="s">
        <v>131</v>
      </c>
      <c r="F48" s="34" t="s">
        <v>178</v>
      </c>
      <c r="G48" s="30">
        <v>11941</v>
      </c>
      <c r="H48" s="30">
        <v>632</v>
      </c>
      <c r="I48" s="30">
        <v>19</v>
      </c>
      <c r="J48" s="30">
        <v>6</v>
      </c>
      <c r="K48" s="30">
        <v>69</v>
      </c>
      <c r="L48" s="30">
        <f t="shared" si="0"/>
        <v>726</v>
      </c>
      <c r="M48" s="31">
        <f t="shared" si="1"/>
        <v>6.07989280629763E-2</v>
      </c>
      <c r="N48" s="32">
        <f t="shared" si="2"/>
        <v>16</v>
      </c>
      <c r="O48" t="str">
        <f t="shared" si="3"/>
        <v>Afternoon (12-16)</v>
      </c>
      <c r="P48" t="str">
        <f t="shared" si="4"/>
        <v>Thursday</v>
      </c>
    </row>
    <row r="49" spans="1:16" x14ac:dyDescent="0.25">
      <c r="A49" t="s">
        <v>179</v>
      </c>
      <c r="B49" s="29">
        <v>46067.166666666701</v>
      </c>
      <c r="C49" t="s">
        <v>74</v>
      </c>
      <c r="D49" t="s">
        <v>97</v>
      </c>
      <c r="E49" t="s">
        <v>131</v>
      </c>
      <c r="F49" s="34" t="s">
        <v>180</v>
      </c>
      <c r="G49" s="30">
        <v>4700</v>
      </c>
      <c r="H49" s="30">
        <v>385</v>
      </c>
      <c r="I49" s="30">
        <v>35</v>
      </c>
      <c r="J49" s="30">
        <v>17</v>
      </c>
      <c r="K49" s="30">
        <v>18</v>
      </c>
      <c r="L49" s="30">
        <f t="shared" si="0"/>
        <v>455</v>
      </c>
      <c r="M49" s="31">
        <f t="shared" si="1"/>
        <v>9.6808510638297873E-2</v>
      </c>
      <c r="N49" s="32">
        <f t="shared" si="2"/>
        <v>4</v>
      </c>
      <c r="O49" t="str">
        <f t="shared" si="3"/>
        <v>Night (21-05)</v>
      </c>
      <c r="P49" t="str">
        <f t="shared" si="4"/>
        <v>Saturday</v>
      </c>
    </row>
    <row r="50" spans="1:16" ht="26.4" x14ac:dyDescent="0.25">
      <c r="A50" t="s">
        <v>181</v>
      </c>
      <c r="B50" s="29">
        <v>45848.5</v>
      </c>
      <c r="C50" t="s">
        <v>100</v>
      </c>
      <c r="D50" t="s">
        <v>75</v>
      </c>
      <c r="E50" t="s">
        <v>88</v>
      </c>
      <c r="F50" s="34" t="s">
        <v>92</v>
      </c>
      <c r="G50" s="30">
        <v>4907</v>
      </c>
      <c r="H50" s="30">
        <v>218</v>
      </c>
      <c r="I50" s="30">
        <v>11</v>
      </c>
      <c r="J50" s="30">
        <v>2</v>
      </c>
      <c r="K50" s="30">
        <v>11</v>
      </c>
      <c r="L50" s="30">
        <f t="shared" si="0"/>
        <v>242</v>
      </c>
      <c r="M50" s="31">
        <f t="shared" si="1"/>
        <v>4.9317301813735483E-2</v>
      </c>
      <c r="N50" s="32">
        <f t="shared" si="2"/>
        <v>12</v>
      </c>
      <c r="O50" t="str">
        <f t="shared" si="3"/>
        <v>Afternoon (12-16)</v>
      </c>
      <c r="P50" t="str">
        <f t="shared" si="4"/>
        <v>Thursday</v>
      </c>
    </row>
    <row r="51" spans="1:16" ht="26.4" x14ac:dyDescent="0.25">
      <c r="A51" t="s">
        <v>182</v>
      </c>
      <c r="B51" s="29">
        <v>45921.208333333299</v>
      </c>
      <c r="C51" t="s">
        <v>74</v>
      </c>
      <c r="D51" t="s">
        <v>80</v>
      </c>
      <c r="E51" t="s">
        <v>76</v>
      </c>
      <c r="F51" s="34" t="s">
        <v>129</v>
      </c>
      <c r="G51" s="30">
        <v>7668</v>
      </c>
      <c r="H51" s="30">
        <v>327</v>
      </c>
      <c r="I51" s="30">
        <v>23</v>
      </c>
      <c r="J51" s="30">
        <v>29</v>
      </c>
      <c r="K51" s="30">
        <v>31</v>
      </c>
      <c r="L51" s="30">
        <f t="shared" si="0"/>
        <v>410</v>
      </c>
      <c r="M51" s="31">
        <f t="shared" si="1"/>
        <v>5.3468961919666144E-2</v>
      </c>
      <c r="N51" s="32">
        <f t="shared" si="2"/>
        <v>5</v>
      </c>
      <c r="O51" t="str">
        <f t="shared" si="3"/>
        <v>Night (21-05)</v>
      </c>
      <c r="P51" t="str">
        <f t="shared" si="4"/>
        <v>Sunday</v>
      </c>
    </row>
    <row r="52" spans="1:16" ht="26.4" x14ac:dyDescent="0.25">
      <c r="A52" t="s">
        <v>183</v>
      </c>
      <c r="B52" s="29">
        <v>45860.708333333299</v>
      </c>
      <c r="C52" t="s">
        <v>74</v>
      </c>
      <c r="D52" t="s">
        <v>80</v>
      </c>
      <c r="E52" t="s">
        <v>111</v>
      </c>
      <c r="F52" s="34" t="s">
        <v>184</v>
      </c>
      <c r="G52" s="30">
        <v>34811</v>
      </c>
      <c r="H52" s="30">
        <v>1871</v>
      </c>
      <c r="I52" s="30">
        <v>56</v>
      </c>
      <c r="J52" s="30">
        <v>166</v>
      </c>
      <c r="K52" s="30">
        <v>43</v>
      </c>
      <c r="L52" s="30">
        <f t="shared" si="0"/>
        <v>2136</v>
      </c>
      <c r="M52" s="31">
        <f t="shared" si="1"/>
        <v>6.1359914969406223E-2</v>
      </c>
      <c r="N52" s="32">
        <f t="shared" si="2"/>
        <v>17</v>
      </c>
      <c r="O52" t="str">
        <f t="shared" si="3"/>
        <v>Evening (17-20)</v>
      </c>
      <c r="P52" t="str">
        <f t="shared" si="4"/>
        <v>Tuesday</v>
      </c>
    </row>
    <row r="53" spans="1:16" x14ac:dyDescent="0.25">
      <c r="A53" t="s">
        <v>185</v>
      </c>
      <c r="B53" s="29">
        <v>45884.416666666701</v>
      </c>
      <c r="C53" t="s">
        <v>79</v>
      </c>
      <c r="D53" t="s">
        <v>75</v>
      </c>
      <c r="E53" t="s">
        <v>115</v>
      </c>
      <c r="F53" s="34" t="s">
        <v>186</v>
      </c>
      <c r="G53" s="30">
        <v>20837</v>
      </c>
      <c r="H53" s="30">
        <v>1830</v>
      </c>
      <c r="I53" s="30">
        <v>112</v>
      </c>
      <c r="J53" s="30">
        <v>270</v>
      </c>
      <c r="K53" s="30">
        <v>44</v>
      </c>
      <c r="L53" s="30">
        <f t="shared" si="0"/>
        <v>2256</v>
      </c>
      <c r="M53" s="31">
        <f t="shared" si="1"/>
        <v>0.10826894466573883</v>
      </c>
      <c r="N53" s="32">
        <f t="shared" si="2"/>
        <v>10</v>
      </c>
      <c r="O53" t="str">
        <f t="shared" si="3"/>
        <v>Morning (06-11)</v>
      </c>
      <c r="P53" t="str">
        <f t="shared" si="4"/>
        <v>Friday</v>
      </c>
    </row>
    <row r="54" spans="1:16" ht="26.4" x14ac:dyDescent="0.25">
      <c r="A54" t="s">
        <v>187</v>
      </c>
      <c r="B54" s="29">
        <v>45936.958333333299</v>
      </c>
      <c r="C54" t="s">
        <v>74</v>
      </c>
      <c r="D54" t="s">
        <v>75</v>
      </c>
      <c r="E54" t="s">
        <v>131</v>
      </c>
      <c r="F54" s="34" t="s">
        <v>188</v>
      </c>
      <c r="G54" s="30">
        <v>12266</v>
      </c>
      <c r="H54" s="30">
        <v>593</v>
      </c>
      <c r="I54" s="30">
        <v>47</v>
      </c>
      <c r="J54" s="30">
        <v>41</v>
      </c>
      <c r="K54" s="30">
        <v>60</v>
      </c>
      <c r="L54" s="30">
        <f t="shared" si="0"/>
        <v>741</v>
      </c>
      <c r="M54" s="31">
        <f t="shared" si="1"/>
        <v>6.041089189629871E-2</v>
      </c>
      <c r="N54" s="32">
        <f t="shared" si="2"/>
        <v>23</v>
      </c>
      <c r="O54" t="str">
        <f t="shared" si="3"/>
        <v>Night (21-05)</v>
      </c>
      <c r="P54" t="str">
        <f t="shared" si="4"/>
        <v>Monday</v>
      </c>
    </row>
    <row r="55" spans="1:16" x14ac:dyDescent="0.25">
      <c r="A55" t="s">
        <v>189</v>
      </c>
      <c r="B55" s="29">
        <v>45985.625</v>
      </c>
      <c r="C55" t="s">
        <v>74</v>
      </c>
      <c r="D55" t="s">
        <v>80</v>
      </c>
      <c r="E55" t="s">
        <v>131</v>
      </c>
      <c r="F55" s="34" t="s">
        <v>190</v>
      </c>
      <c r="G55" s="30">
        <v>25139</v>
      </c>
      <c r="H55" s="30">
        <v>1050</v>
      </c>
      <c r="I55" s="30">
        <v>101</v>
      </c>
      <c r="J55" s="30">
        <v>44</v>
      </c>
      <c r="K55" s="30">
        <v>178</v>
      </c>
      <c r="L55" s="30">
        <f t="shared" si="0"/>
        <v>1373</v>
      </c>
      <c r="M55" s="31">
        <f t="shared" si="1"/>
        <v>5.4616333187477627E-2</v>
      </c>
      <c r="N55" s="32">
        <f t="shared" si="2"/>
        <v>15</v>
      </c>
      <c r="O55" t="str">
        <f t="shared" si="3"/>
        <v>Afternoon (12-16)</v>
      </c>
      <c r="P55" t="str">
        <f t="shared" si="4"/>
        <v>Monday</v>
      </c>
    </row>
    <row r="56" spans="1:16" ht="26.4" x14ac:dyDescent="0.25">
      <c r="A56" t="s">
        <v>191</v>
      </c>
      <c r="B56" s="29">
        <v>46086.666666666701</v>
      </c>
      <c r="C56" t="s">
        <v>79</v>
      </c>
      <c r="D56" t="s">
        <v>75</v>
      </c>
      <c r="E56" t="s">
        <v>91</v>
      </c>
      <c r="F56" s="34" t="s">
        <v>192</v>
      </c>
      <c r="G56" s="30">
        <v>8049</v>
      </c>
      <c r="H56" s="30">
        <v>669</v>
      </c>
      <c r="I56" s="30">
        <v>30</v>
      </c>
      <c r="J56" s="30">
        <v>51</v>
      </c>
      <c r="K56" s="30">
        <v>70</v>
      </c>
      <c r="L56" s="30">
        <f t="shared" si="0"/>
        <v>820</v>
      </c>
      <c r="M56" s="31">
        <f t="shared" si="1"/>
        <v>0.10187600944216672</v>
      </c>
      <c r="N56" s="32">
        <f t="shared" si="2"/>
        <v>16</v>
      </c>
      <c r="O56" t="str">
        <f t="shared" si="3"/>
        <v>Afternoon (12-16)</v>
      </c>
      <c r="P56" t="str">
        <f t="shared" si="4"/>
        <v>Thursday</v>
      </c>
    </row>
    <row r="57" spans="1:16" x14ac:dyDescent="0.25">
      <c r="A57" t="s">
        <v>193</v>
      </c>
      <c r="B57" s="29">
        <v>45891.375</v>
      </c>
      <c r="C57" t="s">
        <v>74</v>
      </c>
      <c r="D57" t="s">
        <v>75</v>
      </c>
      <c r="E57" t="s">
        <v>88</v>
      </c>
      <c r="F57" s="34" t="s">
        <v>152</v>
      </c>
      <c r="G57" s="30">
        <v>13062</v>
      </c>
      <c r="H57" s="30">
        <v>794</v>
      </c>
      <c r="I57" s="30">
        <v>34</v>
      </c>
      <c r="J57" s="30">
        <v>19</v>
      </c>
      <c r="K57" s="30">
        <v>105</v>
      </c>
      <c r="L57" s="30">
        <f t="shared" si="0"/>
        <v>952</v>
      </c>
      <c r="M57" s="31">
        <f t="shared" si="1"/>
        <v>7.2883172561629156E-2</v>
      </c>
      <c r="N57" s="32">
        <f t="shared" si="2"/>
        <v>9</v>
      </c>
      <c r="O57" t="str">
        <f t="shared" si="3"/>
        <v>Morning (06-11)</v>
      </c>
      <c r="P57" t="str">
        <f t="shared" si="4"/>
        <v>Friday</v>
      </c>
    </row>
    <row r="58" spans="1:16" x14ac:dyDescent="0.25">
      <c r="A58" t="s">
        <v>194</v>
      </c>
      <c r="B58" s="29">
        <v>45830.083333333299</v>
      </c>
      <c r="C58" t="s">
        <v>74</v>
      </c>
      <c r="D58" t="s">
        <v>85</v>
      </c>
      <c r="E58" t="s">
        <v>131</v>
      </c>
      <c r="F58" s="34" t="s">
        <v>195</v>
      </c>
      <c r="G58" s="30">
        <v>15170</v>
      </c>
      <c r="H58" s="30">
        <v>1311</v>
      </c>
      <c r="I58" s="30">
        <v>55</v>
      </c>
      <c r="J58" s="30">
        <v>195</v>
      </c>
      <c r="K58" s="30">
        <v>125</v>
      </c>
      <c r="L58" s="30">
        <f t="shared" si="0"/>
        <v>1686</v>
      </c>
      <c r="M58" s="31">
        <f t="shared" si="1"/>
        <v>0.11114040870138431</v>
      </c>
      <c r="N58" s="32">
        <f t="shared" si="2"/>
        <v>2</v>
      </c>
      <c r="O58" t="str">
        <f t="shared" si="3"/>
        <v>Night (21-05)</v>
      </c>
      <c r="P58" t="str">
        <f t="shared" si="4"/>
        <v>Sunday</v>
      </c>
    </row>
    <row r="59" spans="1:16" x14ac:dyDescent="0.25">
      <c r="A59" t="s">
        <v>196</v>
      </c>
      <c r="B59" s="29">
        <v>46059.875</v>
      </c>
      <c r="C59" t="s">
        <v>100</v>
      </c>
      <c r="D59" t="s">
        <v>75</v>
      </c>
      <c r="E59" t="s">
        <v>115</v>
      </c>
      <c r="F59" s="34" t="s">
        <v>197</v>
      </c>
      <c r="G59" s="30">
        <v>19635</v>
      </c>
      <c r="H59" s="30">
        <v>1750</v>
      </c>
      <c r="I59" s="30">
        <v>127</v>
      </c>
      <c r="J59" s="30">
        <v>54</v>
      </c>
      <c r="K59" s="30">
        <v>90</v>
      </c>
      <c r="L59" s="30">
        <f t="shared" si="0"/>
        <v>2021</v>
      </c>
      <c r="M59" s="31">
        <f t="shared" si="1"/>
        <v>0.1029284441049147</v>
      </c>
      <c r="N59" s="32">
        <f t="shared" si="2"/>
        <v>21</v>
      </c>
      <c r="O59" t="str">
        <f t="shared" si="3"/>
        <v>Night (21-05)</v>
      </c>
      <c r="P59" t="str">
        <f t="shared" si="4"/>
        <v>Friday</v>
      </c>
    </row>
    <row r="60" spans="1:16" ht="26.4" x14ac:dyDescent="0.25">
      <c r="A60" t="s">
        <v>198</v>
      </c>
      <c r="B60" s="29">
        <v>45785.875</v>
      </c>
      <c r="C60" t="s">
        <v>74</v>
      </c>
      <c r="D60" t="s">
        <v>97</v>
      </c>
      <c r="E60" t="s">
        <v>76</v>
      </c>
      <c r="F60" s="34" t="s">
        <v>199</v>
      </c>
      <c r="G60" s="30">
        <v>2192</v>
      </c>
      <c r="H60" s="30">
        <v>183</v>
      </c>
      <c r="I60" s="30">
        <v>3</v>
      </c>
      <c r="J60" s="30">
        <v>8</v>
      </c>
      <c r="K60" s="30">
        <v>10</v>
      </c>
      <c r="L60" s="30">
        <f t="shared" si="0"/>
        <v>204</v>
      </c>
      <c r="M60" s="31">
        <f t="shared" si="1"/>
        <v>9.3065693430656932E-2</v>
      </c>
      <c r="N60" s="32">
        <f t="shared" si="2"/>
        <v>21</v>
      </c>
      <c r="O60" t="str">
        <f t="shared" si="3"/>
        <v>Night (21-05)</v>
      </c>
      <c r="P60" t="str">
        <f t="shared" si="4"/>
        <v>Thursday</v>
      </c>
    </row>
    <row r="61" spans="1:16" x14ac:dyDescent="0.25">
      <c r="A61" t="s">
        <v>200</v>
      </c>
      <c r="B61" s="29">
        <v>45848.291666666701</v>
      </c>
      <c r="C61" t="s">
        <v>74</v>
      </c>
      <c r="D61" t="s">
        <v>80</v>
      </c>
      <c r="E61" t="s">
        <v>111</v>
      </c>
      <c r="F61" s="34" t="s">
        <v>201</v>
      </c>
      <c r="G61" s="30">
        <v>47748</v>
      </c>
      <c r="H61" s="30">
        <v>2699</v>
      </c>
      <c r="I61" s="30">
        <v>205</v>
      </c>
      <c r="J61" s="30">
        <v>264</v>
      </c>
      <c r="K61" s="30">
        <v>353</v>
      </c>
      <c r="L61" s="30">
        <f t="shared" si="0"/>
        <v>3521</v>
      </c>
      <c r="M61" s="31">
        <f t="shared" si="1"/>
        <v>7.3741308536483197E-2</v>
      </c>
      <c r="N61" s="32">
        <f t="shared" si="2"/>
        <v>7</v>
      </c>
      <c r="O61" t="str">
        <f t="shared" si="3"/>
        <v>Morning (06-11)</v>
      </c>
      <c r="P61" t="str">
        <f t="shared" si="4"/>
        <v>Thursday</v>
      </c>
    </row>
    <row r="62" spans="1:16" ht="26.4" x14ac:dyDescent="0.25">
      <c r="A62" t="s">
        <v>202</v>
      </c>
      <c r="B62" s="29">
        <v>45963.333333333299</v>
      </c>
      <c r="C62" t="s">
        <v>74</v>
      </c>
      <c r="D62" t="s">
        <v>128</v>
      </c>
      <c r="E62" t="s">
        <v>111</v>
      </c>
      <c r="F62" s="34" t="s">
        <v>92</v>
      </c>
      <c r="G62" s="30">
        <v>15082</v>
      </c>
      <c r="H62" s="30">
        <v>1217</v>
      </c>
      <c r="I62" s="30">
        <v>35</v>
      </c>
      <c r="J62" s="30">
        <v>44</v>
      </c>
      <c r="K62" s="30">
        <v>36</v>
      </c>
      <c r="L62" s="30">
        <f t="shared" si="0"/>
        <v>1332</v>
      </c>
      <c r="M62" s="31">
        <f t="shared" si="1"/>
        <v>8.8317199310436287E-2</v>
      </c>
      <c r="N62" s="32">
        <f t="shared" si="2"/>
        <v>8</v>
      </c>
      <c r="O62" t="str">
        <f t="shared" si="3"/>
        <v>Morning (06-11)</v>
      </c>
      <c r="P62" t="str">
        <f t="shared" si="4"/>
        <v>Sunday</v>
      </c>
    </row>
    <row r="63" spans="1:16" ht="26.4" x14ac:dyDescent="0.25">
      <c r="A63" t="s">
        <v>203</v>
      </c>
      <c r="B63" s="29">
        <v>45791</v>
      </c>
      <c r="C63" t="s">
        <v>74</v>
      </c>
      <c r="D63" t="s">
        <v>80</v>
      </c>
      <c r="E63" t="s">
        <v>115</v>
      </c>
      <c r="F63" s="34" t="s">
        <v>204</v>
      </c>
      <c r="G63" s="30">
        <v>30642</v>
      </c>
      <c r="H63" s="30">
        <v>2631</v>
      </c>
      <c r="I63" s="30">
        <v>87</v>
      </c>
      <c r="J63" s="30">
        <v>119</v>
      </c>
      <c r="K63" s="30">
        <v>167</v>
      </c>
      <c r="L63" s="30">
        <f t="shared" si="0"/>
        <v>3004</v>
      </c>
      <c r="M63" s="31">
        <f t="shared" si="1"/>
        <v>9.8035376280921613E-2</v>
      </c>
      <c r="N63" s="32">
        <f t="shared" si="2"/>
        <v>0</v>
      </c>
      <c r="O63" t="str">
        <f t="shared" si="3"/>
        <v>Night (21-05)</v>
      </c>
      <c r="P63" t="str">
        <f t="shared" si="4"/>
        <v>Wednesday</v>
      </c>
    </row>
    <row r="64" spans="1:16" x14ac:dyDescent="0.25">
      <c r="A64" t="s">
        <v>205</v>
      </c>
      <c r="B64" s="29">
        <v>45982.458333333299</v>
      </c>
      <c r="C64" t="s">
        <v>74</v>
      </c>
      <c r="D64" t="s">
        <v>85</v>
      </c>
      <c r="E64" t="s">
        <v>131</v>
      </c>
      <c r="F64" s="34" t="s">
        <v>103</v>
      </c>
      <c r="G64" s="30">
        <v>27119</v>
      </c>
      <c r="H64" s="30">
        <v>2265</v>
      </c>
      <c r="I64" s="30">
        <v>111</v>
      </c>
      <c r="J64" s="30">
        <v>257</v>
      </c>
      <c r="K64" s="30">
        <v>52</v>
      </c>
      <c r="L64" s="30">
        <f t="shared" si="0"/>
        <v>2685</v>
      </c>
      <c r="M64" s="31">
        <f t="shared" si="1"/>
        <v>9.9008075519008809E-2</v>
      </c>
      <c r="N64" s="32">
        <f t="shared" si="2"/>
        <v>11</v>
      </c>
      <c r="O64" t="str">
        <f t="shared" si="3"/>
        <v>Morning (06-11)</v>
      </c>
      <c r="P64" t="str">
        <f t="shared" si="4"/>
        <v>Friday</v>
      </c>
    </row>
    <row r="65" spans="1:16" ht="26.4" x14ac:dyDescent="0.25">
      <c r="A65" t="s">
        <v>206</v>
      </c>
      <c r="B65" s="29">
        <v>45929.166666666701</v>
      </c>
      <c r="C65" t="s">
        <v>84</v>
      </c>
      <c r="D65" t="s">
        <v>97</v>
      </c>
      <c r="E65" t="s">
        <v>94</v>
      </c>
      <c r="F65" s="34" t="s">
        <v>77</v>
      </c>
      <c r="G65" s="30">
        <v>5082</v>
      </c>
      <c r="H65" s="30">
        <v>206</v>
      </c>
      <c r="I65" s="30">
        <v>8</v>
      </c>
      <c r="J65" s="30">
        <v>18</v>
      </c>
      <c r="K65" s="30">
        <v>30</v>
      </c>
      <c r="L65" s="30">
        <f t="shared" si="0"/>
        <v>262</v>
      </c>
      <c r="M65" s="31">
        <f t="shared" si="1"/>
        <v>5.1554506099960644E-2</v>
      </c>
      <c r="N65" s="32">
        <f t="shared" si="2"/>
        <v>4</v>
      </c>
      <c r="O65" t="str">
        <f t="shared" si="3"/>
        <v>Night (21-05)</v>
      </c>
      <c r="P65" t="str">
        <f t="shared" si="4"/>
        <v>Monday</v>
      </c>
    </row>
    <row r="66" spans="1:16" ht="26.4" x14ac:dyDescent="0.25">
      <c r="A66" t="s">
        <v>207</v>
      </c>
      <c r="B66" s="29">
        <v>46039.166666666701</v>
      </c>
      <c r="C66" t="s">
        <v>74</v>
      </c>
      <c r="D66" t="s">
        <v>80</v>
      </c>
      <c r="E66" t="s">
        <v>76</v>
      </c>
      <c r="F66" s="34" t="s">
        <v>208</v>
      </c>
      <c r="G66" s="30">
        <v>18233</v>
      </c>
      <c r="H66" s="30">
        <v>1537</v>
      </c>
      <c r="I66" s="30">
        <v>94</v>
      </c>
      <c r="J66" s="30">
        <v>91</v>
      </c>
      <c r="K66" s="30">
        <v>45</v>
      </c>
      <c r="L66" s="30">
        <f t="shared" ref="L66:L129" si="5">SUM(H66:K66)</f>
        <v>1767</v>
      </c>
      <c r="M66" s="31">
        <f t="shared" ref="M66:M129" si="6">IFERROR(L66/G66,0)</f>
        <v>9.6912192179016074E-2</v>
      </c>
      <c r="N66" s="32">
        <f t="shared" ref="N66:N129" si="7">MOD(ROUND(B66*24,0),24)</f>
        <v>4</v>
      </c>
      <c r="O66" t="str">
        <f t="shared" ref="O66:O129" si="8">IF(AND(N66&gt;=6,N66&lt;12),"Morning (06-11)",IF(AND(N66&gt;=12,N66&lt;17),"Afternoon (12-16)",IF(AND(N66&gt;=17,N66&lt;21),"Evening (17-20)","Night (21-05)")))</f>
        <v>Night (21-05)</v>
      </c>
      <c r="P66" t="str">
        <f t="shared" ref="P66:P129" si="9">TEXT(B66,"dddd")</f>
        <v>Saturday</v>
      </c>
    </row>
    <row r="67" spans="1:16" ht="26.4" x14ac:dyDescent="0.25">
      <c r="A67" t="s">
        <v>209</v>
      </c>
      <c r="B67" s="29">
        <v>45842.958333333299</v>
      </c>
      <c r="C67" t="s">
        <v>74</v>
      </c>
      <c r="D67" t="s">
        <v>75</v>
      </c>
      <c r="E67" t="s">
        <v>88</v>
      </c>
      <c r="F67" s="34" t="s">
        <v>146</v>
      </c>
      <c r="G67" s="30">
        <v>9109</v>
      </c>
      <c r="H67" s="30">
        <v>518</v>
      </c>
      <c r="I67" s="30">
        <v>33</v>
      </c>
      <c r="J67" s="30">
        <v>22</v>
      </c>
      <c r="K67" s="30">
        <v>43</v>
      </c>
      <c r="L67" s="30">
        <f t="shared" si="5"/>
        <v>616</v>
      </c>
      <c r="M67" s="31">
        <f t="shared" si="6"/>
        <v>6.762542540344714E-2</v>
      </c>
      <c r="N67" s="32">
        <f t="shared" si="7"/>
        <v>23</v>
      </c>
      <c r="O67" t="str">
        <f t="shared" si="8"/>
        <v>Night (21-05)</v>
      </c>
      <c r="P67" t="str">
        <f t="shared" si="9"/>
        <v>Friday</v>
      </c>
    </row>
    <row r="68" spans="1:16" x14ac:dyDescent="0.25">
      <c r="A68" t="s">
        <v>210</v>
      </c>
      <c r="B68" s="29">
        <v>45915.25</v>
      </c>
      <c r="C68" t="s">
        <v>74</v>
      </c>
      <c r="D68" t="s">
        <v>85</v>
      </c>
      <c r="E68" t="s">
        <v>94</v>
      </c>
      <c r="F68" s="34" t="s">
        <v>211</v>
      </c>
      <c r="G68" s="30">
        <v>19381</v>
      </c>
      <c r="H68" s="30">
        <v>1682</v>
      </c>
      <c r="I68" s="30">
        <v>70</v>
      </c>
      <c r="J68" s="30">
        <v>109</v>
      </c>
      <c r="K68" s="30">
        <v>166</v>
      </c>
      <c r="L68" s="30">
        <f t="shared" si="5"/>
        <v>2027</v>
      </c>
      <c r="M68" s="31">
        <f t="shared" si="6"/>
        <v>0.10458696661678964</v>
      </c>
      <c r="N68" s="32">
        <f t="shared" si="7"/>
        <v>6</v>
      </c>
      <c r="O68" t="str">
        <f t="shared" si="8"/>
        <v>Morning (06-11)</v>
      </c>
      <c r="P68" t="str">
        <f t="shared" si="9"/>
        <v>Monday</v>
      </c>
    </row>
    <row r="69" spans="1:16" x14ac:dyDescent="0.25">
      <c r="A69" t="s">
        <v>212</v>
      </c>
      <c r="B69" s="29">
        <v>46018.958333333299</v>
      </c>
      <c r="C69" t="s">
        <v>74</v>
      </c>
      <c r="D69" t="s">
        <v>80</v>
      </c>
      <c r="E69" t="s">
        <v>81</v>
      </c>
      <c r="F69" s="34" t="s">
        <v>213</v>
      </c>
      <c r="G69" s="30">
        <v>30424</v>
      </c>
      <c r="H69" s="30">
        <v>2133</v>
      </c>
      <c r="I69" s="30">
        <v>77</v>
      </c>
      <c r="J69" s="30">
        <v>194</v>
      </c>
      <c r="K69" s="30">
        <v>81</v>
      </c>
      <c r="L69" s="30">
        <f t="shared" si="5"/>
        <v>2485</v>
      </c>
      <c r="M69" s="31">
        <f t="shared" si="6"/>
        <v>8.167893768077833E-2</v>
      </c>
      <c r="N69" s="32">
        <f t="shared" si="7"/>
        <v>23</v>
      </c>
      <c r="O69" t="str">
        <f t="shared" si="8"/>
        <v>Night (21-05)</v>
      </c>
      <c r="P69" t="str">
        <f t="shared" si="9"/>
        <v>Saturday</v>
      </c>
    </row>
    <row r="70" spans="1:16" ht="26.4" x14ac:dyDescent="0.25">
      <c r="A70" t="s">
        <v>214</v>
      </c>
      <c r="B70" s="29">
        <v>46019.291666666701</v>
      </c>
      <c r="C70" t="s">
        <v>100</v>
      </c>
      <c r="D70" t="s">
        <v>80</v>
      </c>
      <c r="E70" t="s">
        <v>111</v>
      </c>
      <c r="F70" s="34" t="s">
        <v>215</v>
      </c>
      <c r="G70" s="30">
        <v>19540</v>
      </c>
      <c r="H70" s="30">
        <v>1460</v>
      </c>
      <c r="I70" s="30">
        <v>45</v>
      </c>
      <c r="J70" s="30">
        <v>166</v>
      </c>
      <c r="K70" s="30">
        <v>166</v>
      </c>
      <c r="L70" s="30">
        <f t="shared" si="5"/>
        <v>1837</v>
      </c>
      <c r="M70" s="31">
        <f t="shared" si="6"/>
        <v>9.4012282497441146E-2</v>
      </c>
      <c r="N70" s="32">
        <f t="shared" si="7"/>
        <v>7</v>
      </c>
      <c r="O70" t="str">
        <f t="shared" si="8"/>
        <v>Morning (06-11)</v>
      </c>
      <c r="P70" t="str">
        <f t="shared" si="9"/>
        <v>Sunday</v>
      </c>
    </row>
    <row r="71" spans="1:16" ht="26.4" x14ac:dyDescent="0.25">
      <c r="A71" t="s">
        <v>216</v>
      </c>
      <c r="B71" s="29">
        <v>46035.625</v>
      </c>
      <c r="C71" t="s">
        <v>74</v>
      </c>
      <c r="D71" t="s">
        <v>75</v>
      </c>
      <c r="E71" t="s">
        <v>94</v>
      </c>
      <c r="F71" s="34" t="s">
        <v>217</v>
      </c>
      <c r="G71" s="30">
        <v>17249</v>
      </c>
      <c r="H71" s="30">
        <v>1045</v>
      </c>
      <c r="I71" s="30">
        <v>83</v>
      </c>
      <c r="J71" s="30">
        <v>43</v>
      </c>
      <c r="K71" s="30">
        <v>52</v>
      </c>
      <c r="L71" s="30">
        <f t="shared" si="5"/>
        <v>1223</v>
      </c>
      <c r="M71" s="31">
        <f t="shared" si="6"/>
        <v>7.0902661023827473E-2</v>
      </c>
      <c r="N71" s="32">
        <f t="shared" si="7"/>
        <v>15</v>
      </c>
      <c r="O71" t="str">
        <f t="shared" si="8"/>
        <v>Afternoon (12-16)</v>
      </c>
      <c r="P71" t="str">
        <f t="shared" si="9"/>
        <v>Tuesday</v>
      </c>
    </row>
    <row r="72" spans="1:16" ht="26.4" x14ac:dyDescent="0.25">
      <c r="A72" t="s">
        <v>218</v>
      </c>
      <c r="B72" s="29">
        <v>45906.541666666701</v>
      </c>
      <c r="C72" t="s">
        <v>74</v>
      </c>
      <c r="D72" t="s">
        <v>75</v>
      </c>
      <c r="E72" t="s">
        <v>94</v>
      </c>
      <c r="F72" s="34" t="s">
        <v>219</v>
      </c>
      <c r="G72" s="30">
        <v>14175</v>
      </c>
      <c r="H72" s="30">
        <v>790</v>
      </c>
      <c r="I72" s="30">
        <v>72</v>
      </c>
      <c r="J72" s="30">
        <v>49</v>
      </c>
      <c r="K72" s="30">
        <v>122</v>
      </c>
      <c r="L72" s="30">
        <f t="shared" si="5"/>
        <v>1033</v>
      </c>
      <c r="M72" s="31">
        <f t="shared" si="6"/>
        <v>7.2874779541446208E-2</v>
      </c>
      <c r="N72" s="32">
        <f t="shared" si="7"/>
        <v>13</v>
      </c>
      <c r="O72" t="str">
        <f t="shared" si="8"/>
        <v>Afternoon (12-16)</v>
      </c>
      <c r="P72" t="str">
        <f t="shared" si="9"/>
        <v>Saturday</v>
      </c>
    </row>
    <row r="73" spans="1:16" x14ac:dyDescent="0.25">
      <c r="A73" t="s">
        <v>220</v>
      </c>
      <c r="B73" s="29">
        <v>45848.625</v>
      </c>
      <c r="C73" t="s">
        <v>79</v>
      </c>
      <c r="D73" t="s">
        <v>85</v>
      </c>
      <c r="E73" t="s">
        <v>94</v>
      </c>
      <c r="F73" s="34" t="s">
        <v>221</v>
      </c>
      <c r="G73" s="30">
        <v>16648</v>
      </c>
      <c r="H73" s="30">
        <v>769</v>
      </c>
      <c r="I73" s="30">
        <v>28</v>
      </c>
      <c r="J73" s="30">
        <v>73</v>
      </c>
      <c r="K73" s="30">
        <v>141</v>
      </c>
      <c r="L73" s="30">
        <f t="shared" si="5"/>
        <v>1011</v>
      </c>
      <c r="M73" s="31">
        <f t="shared" si="6"/>
        <v>6.0728015377222493E-2</v>
      </c>
      <c r="N73" s="32">
        <f t="shared" si="7"/>
        <v>15</v>
      </c>
      <c r="O73" t="str">
        <f t="shared" si="8"/>
        <v>Afternoon (12-16)</v>
      </c>
      <c r="P73" t="str">
        <f t="shared" si="9"/>
        <v>Thursday</v>
      </c>
    </row>
    <row r="74" spans="1:16" ht="26.4" x14ac:dyDescent="0.25">
      <c r="A74" t="s">
        <v>222</v>
      </c>
      <c r="B74" s="29">
        <v>45911.25</v>
      </c>
      <c r="C74" t="s">
        <v>79</v>
      </c>
      <c r="D74" t="s">
        <v>85</v>
      </c>
      <c r="E74" t="s">
        <v>131</v>
      </c>
      <c r="F74" s="34" t="s">
        <v>223</v>
      </c>
      <c r="G74" s="30">
        <v>12106</v>
      </c>
      <c r="H74" s="30">
        <v>1000</v>
      </c>
      <c r="I74" s="30">
        <v>75</v>
      </c>
      <c r="J74" s="30">
        <v>66</v>
      </c>
      <c r="K74" s="30">
        <v>79</v>
      </c>
      <c r="L74" s="30">
        <f t="shared" si="5"/>
        <v>1220</v>
      </c>
      <c r="M74" s="31">
        <f t="shared" si="6"/>
        <v>0.10077647447546671</v>
      </c>
      <c r="N74" s="32">
        <f t="shared" si="7"/>
        <v>6</v>
      </c>
      <c r="O74" t="str">
        <f t="shared" si="8"/>
        <v>Morning (06-11)</v>
      </c>
      <c r="P74" t="str">
        <f t="shared" si="9"/>
        <v>Thursday</v>
      </c>
    </row>
    <row r="75" spans="1:16" x14ac:dyDescent="0.25">
      <c r="A75" t="s">
        <v>224</v>
      </c>
      <c r="B75" s="29">
        <v>45825.291666666701</v>
      </c>
      <c r="C75" t="s">
        <v>74</v>
      </c>
      <c r="D75" t="s">
        <v>85</v>
      </c>
      <c r="E75" t="s">
        <v>94</v>
      </c>
      <c r="F75" s="34" t="s">
        <v>225</v>
      </c>
      <c r="G75" s="30">
        <v>8048</v>
      </c>
      <c r="H75" s="30">
        <v>578</v>
      </c>
      <c r="I75" s="30">
        <v>50</v>
      </c>
      <c r="J75" s="30">
        <v>58</v>
      </c>
      <c r="K75" s="30">
        <v>74</v>
      </c>
      <c r="L75" s="30">
        <f t="shared" si="5"/>
        <v>760</v>
      </c>
      <c r="M75" s="31">
        <f t="shared" si="6"/>
        <v>9.4433399602385684E-2</v>
      </c>
      <c r="N75" s="32">
        <f t="shared" si="7"/>
        <v>7</v>
      </c>
      <c r="O75" t="str">
        <f t="shared" si="8"/>
        <v>Morning (06-11)</v>
      </c>
      <c r="P75" t="str">
        <f t="shared" si="9"/>
        <v>Tuesday</v>
      </c>
    </row>
    <row r="76" spans="1:16" x14ac:dyDescent="0.25">
      <c r="A76" t="s">
        <v>226</v>
      </c>
      <c r="B76" s="29">
        <v>45818.166666666701</v>
      </c>
      <c r="C76" t="s">
        <v>74</v>
      </c>
      <c r="D76" t="s">
        <v>85</v>
      </c>
      <c r="E76" t="s">
        <v>76</v>
      </c>
      <c r="F76" s="34" t="s">
        <v>227</v>
      </c>
      <c r="G76" s="30">
        <v>17328</v>
      </c>
      <c r="H76" s="30">
        <v>1019</v>
      </c>
      <c r="I76" s="30">
        <v>77</v>
      </c>
      <c r="J76" s="30">
        <v>52</v>
      </c>
      <c r="K76" s="30">
        <v>100</v>
      </c>
      <c r="L76" s="30">
        <f t="shared" si="5"/>
        <v>1248</v>
      </c>
      <c r="M76" s="31">
        <f t="shared" si="6"/>
        <v>7.2022160664819951E-2</v>
      </c>
      <c r="N76" s="32">
        <f t="shared" si="7"/>
        <v>4</v>
      </c>
      <c r="O76" t="str">
        <f t="shared" si="8"/>
        <v>Night (21-05)</v>
      </c>
      <c r="P76" t="str">
        <f t="shared" si="9"/>
        <v>Tuesday</v>
      </c>
    </row>
    <row r="77" spans="1:16" ht="26.4" x14ac:dyDescent="0.25">
      <c r="A77" t="s">
        <v>228</v>
      </c>
      <c r="B77" s="29">
        <v>45890.333333333299</v>
      </c>
      <c r="C77" t="s">
        <v>100</v>
      </c>
      <c r="D77" t="s">
        <v>128</v>
      </c>
      <c r="E77" t="s">
        <v>115</v>
      </c>
      <c r="F77" s="34" t="s">
        <v>229</v>
      </c>
      <c r="G77" s="30">
        <v>5041</v>
      </c>
      <c r="H77" s="30">
        <v>345</v>
      </c>
      <c r="I77" s="30">
        <v>9</v>
      </c>
      <c r="J77" s="30">
        <v>36</v>
      </c>
      <c r="K77" s="30">
        <v>45</v>
      </c>
      <c r="L77" s="30">
        <f t="shared" si="5"/>
        <v>435</v>
      </c>
      <c r="M77" s="31">
        <f t="shared" si="6"/>
        <v>8.6292402301130722E-2</v>
      </c>
      <c r="N77" s="32">
        <f t="shared" si="7"/>
        <v>8</v>
      </c>
      <c r="O77" t="str">
        <f t="shared" si="8"/>
        <v>Morning (06-11)</v>
      </c>
      <c r="P77" t="str">
        <f t="shared" si="9"/>
        <v>Thursday</v>
      </c>
    </row>
    <row r="78" spans="1:16" x14ac:dyDescent="0.25">
      <c r="A78" t="s">
        <v>230</v>
      </c>
      <c r="B78" s="29">
        <v>45989.916666666701</v>
      </c>
      <c r="C78" t="s">
        <v>79</v>
      </c>
      <c r="D78" t="s">
        <v>85</v>
      </c>
      <c r="E78" t="s">
        <v>115</v>
      </c>
      <c r="F78" s="34" t="s">
        <v>231</v>
      </c>
      <c r="G78" s="30">
        <v>3927</v>
      </c>
      <c r="H78" s="30">
        <v>157</v>
      </c>
      <c r="I78" s="30">
        <v>10</v>
      </c>
      <c r="J78" s="30">
        <v>7</v>
      </c>
      <c r="K78" s="30">
        <v>38</v>
      </c>
      <c r="L78" s="30">
        <f t="shared" si="5"/>
        <v>212</v>
      </c>
      <c r="M78" s="31">
        <f t="shared" si="6"/>
        <v>5.398523045581869E-2</v>
      </c>
      <c r="N78" s="32">
        <f t="shared" si="7"/>
        <v>22</v>
      </c>
      <c r="O78" t="str">
        <f t="shared" si="8"/>
        <v>Night (21-05)</v>
      </c>
      <c r="P78" t="str">
        <f t="shared" si="9"/>
        <v>Friday</v>
      </c>
    </row>
    <row r="79" spans="1:16" x14ac:dyDescent="0.25">
      <c r="A79" t="s">
        <v>232</v>
      </c>
      <c r="B79" s="29">
        <v>45922.583333333299</v>
      </c>
      <c r="C79" t="s">
        <v>100</v>
      </c>
      <c r="D79" t="s">
        <v>128</v>
      </c>
      <c r="E79" t="s">
        <v>91</v>
      </c>
      <c r="F79" s="34" t="s">
        <v>233</v>
      </c>
      <c r="G79" s="30">
        <v>6044</v>
      </c>
      <c r="H79" s="30">
        <v>352</v>
      </c>
      <c r="I79" s="30">
        <v>28</v>
      </c>
      <c r="J79" s="30">
        <v>20</v>
      </c>
      <c r="K79" s="30">
        <v>16</v>
      </c>
      <c r="L79" s="30">
        <f t="shared" si="5"/>
        <v>416</v>
      </c>
      <c r="M79" s="31">
        <f t="shared" si="6"/>
        <v>6.8828590337524823E-2</v>
      </c>
      <c r="N79" s="32">
        <f t="shared" si="7"/>
        <v>14</v>
      </c>
      <c r="O79" t="str">
        <f t="shared" si="8"/>
        <v>Afternoon (12-16)</v>
      </c>
      <c r="P79" t="str">
        <f t="shared" si="9"/>
        <v>Monday</v>
      </c>
    </row>
    <row r="80" spans="1:16" x14ac:dyDescent="0.25">
      <c r="A80" t="s">
        <v>234</v>
      </c>
      <c r="B80" s="29">
        <v>45941.625</v>
      </c>
      <c r="C80" t="s">
        <v>74</v>
      </c>
      <c r="D80" t="s">
        <v>97</v>
      </c>
      <c r="E80" t="s">
        <v>76</v>
      </c>
      <c r="F80" s="34" t="s">
        <v>235</v>
      </c>
      <c r="G80" s="30">
        <v>2637</v>
      </c>
      <c r="H80" s="30">
        <v>120</v>
      </c>
      <c r="I80" s="30">
        <v>6</v>
      </c>
      <c r="J80" s="30">
        <v>12</v>
      </c>
      <c r="K80" s="30">
        <v>19</v>
      </c>
      <c r="L80" s="30">
        <f t="shared" si="5"/>
        <v>157</v>
      </c>
      <c r="M80" s="31">
        <f t="shared" si="6"/>
        <v>5.9537353052711413E-2</v>
      </c>
      <c r="N80" s="32">
        <f t="shared" si="7"/>
        <v>15</v>
      </c>
      <c r="O80" t="str">
        <f t="shared" si="8"/>
        <v>Afternoon (12-16)</v>
      </c>
      <c r="P80" t="str">
        <f t="shared" si="9"/>
        <v>Saturday</v>
      </c>
    </row>
    <row r="81" spans="1:16" x14ac:dyDescent="0.25">
      <c r="A81" t="s">
        <v>236</v>
      </c>
      <c r="B81" s="29">
        <v>45969.875</v>
      </c>
      <c r="C81" t="s">
        <v>100</v>
      </c>
      <c r="D81" t="s">
        <v>80</v>
      </c>
      <c r="E81" t="s">
        <v>88</v>
      </c>
      <c r="F81" s="34" t="s">
        <v>237</v>
      </c>
      <c r="G81" s="30">
        <v>18524</v>
      </c>
      <c r="H81" s="30">
        <v>1391</v>
      </c>
      <c r="I81" s="30">
        <v>63</v>
      </c>
      <c r="J81" s="30">
        <v>152</v>
      </c>
      <c r="K81" s="30">
        <v>28</v>
      </c>
      <c r="L81" s="30">
        <f t="shared" si="5"/>
        <v>1634</v>
      </c>
      <c r="M81" s="31">
        <f t="shared" si="6"/>
        <v>8.8209889872597716E-2</v>
      </c>
      <c r="N81" s="32">
        <f t="shared" si="7"/>
        <v>21</v>
      </c>
      <c r="O81" t="str">
        <f t="shared" si="8"/>
        <v>Night (21-05)</v>
      </c>
      <c r="P81" t="str">
        <f t="shared" si="9"/>
        <v>Saturday</v>
      </c>
    </row>
    <row r="82" spans="1:16" x14ac:dyDescent="0.25">
      <c r="A82" t="s">
        <v>238</v>
      </c>
      <c r="B82" s="29">
        <v>45807.625</v>
      </c>
      <c r="C82" t="s">
        <v>74</v>
      </c>
      <c r="D82" t="s">
        <v>75</v>
      </c>
      <c r="E82" t="s">
        <v>111</v>
      </c>
      <c r="F82" s="34" t="s">
        <v>239</v>
      </c>
      <c r="G82" s="30">
        <v>32770</v>
      </c>
      <c r="H82" s="30">
        <v>1820</v>
      </c>
      <c r="I82" s="30">
        <v>172</v>
      </c>
      <c r="J82" s="30">
        <v>69</v>
      </c>
      <c r="K82" s="30">
        <v>215</v>
      </c>
      <c r="L82" s="30">
        <f t="shared" si="5"/>
        <v>2276</v>
      </c>
      <c r="M82" s="31">
        <f t="shared" si="6"/>
        <v>6.94537686908758E-2</v>
      </c>
      <c r="N82" s="32">
        <f t="shared" si="7"/>
        <v>15</v>
      </c>
      <c r="O82" t="str">
        <f t="shared" si="8"/>
        <v>Afternoon (12-16)</v>
      </c>
      <c r="P82" t="str">
        <f t="shared" si="9"/>
        <v>Friday</v>
      </c>
    </row>
    <row r="83" spans="1:16" x14ac:dyDescent="0.25">
      <c r="A83" t="s">
        <v>240</v>
      </c>
      <c r="B83" s="29">
        <v>45971.625</v>
      </c>
      <c r="C83" t="s">
        <v>74</v>
      </c>
      <c r="D83" t="s">
        <v>80</v>
      </c>
      <c r="E83" t="s">
        <v>115</v>
      </c>
      <c r="F83" s="34" t="s">
        <v>241</v>
      </c>
      <c r="G83" s="30">
        <v>12139</v>
      </c>
      <c r="H83" s="30">
        <v>618</v>
      </c>
      <c r="I83" s="30">
        <v>13</v>
      </c>
      <c r="J83" s="30">
        <v>41</v>
      </c>
      <c r="K83" s="30">
        <v>43</v>
      </c>
      <c r="L83" s="30">
        <f t="shared" si="5"/>
        <v>715</v>
      </c>
      <c r="M83" s="31">
        <f t="shared" si="6"/>
        <v>5.8901062690501688E-2</v>
      </c>
      <c r="N83" s="32">
        <f t="shared" si="7"/>
        <v>15</v>
      </c>
      <c r="O83" t="str">
        <f t="shared" si="8"/>
        <v>Afternoon (12-16)</v>
      </c>
      <c r="P83" t="str">
        <f t="shared" si="9"/>
        <v>Monday</v>
      </c>
    </row>
    <row r="84" spans="1:16" ht="26.4" x14ac:dyDescent="0.25">
      <c r="A84" t="s">
        <v>242</v>
      </c>
      <c r="B84" s="29">
        <v>45749.875</v>
      </c>
      <c r="C84" t="s">
        <v>74</v>
      </c>
      <c r="D84" t="s">
        <v>80</v>
      </c>
      <c r="E84" t="s">
        <v>76</v>
      </c>
      <c r="F84" s="34" t="s">
        <v>243</v>
      </c>
      <c r="G84" s="30">
        <v>31645</v>
      </c>
      <c r="H84" s="30">
        <v>1521</v>
      </c>
      <c r="I84" s="30">
        <v>79</v>
      </c>
      <c r="J84" s="30">
        <v>52</v>
      </c>
      <c r="K84" s="30">
        <v>104</v>
      </c>
      <c r="L84" s="30">
        <f t="shared" si="5"/>
        <v>1756</v>
      </c>
      <c r="M84" s="31">
        <f t="shared" si="6"/>
        <v>5.5490598830778955E-2</v>
      </c>
      <c r="N84" s="32">
        <f t="shared" si="7"/>
        <v>21</v>
      </c>
      <c r="O84" t="str">
        <f t="shared" si="8"/>
        <v>Night (21-05)</v>
      </c>
      <c r="P84" t="str">
        <f t="shared" si="9"/>
        <v>Wednesday</v>
      </c>
    </row>
    <row r="85" spans="1:16" ht="26.4" x14ac:dyDescent="0.25">
      <c r="A85" t="s">
        <v>244</v>
      </c>
      <c r="B85" s="29">
        <v>45808.041666666701</v>
      </c>
      <c r="C85" t="s">
        <v>74</v>
      </c>
      <c r="D85" t="s">
        <v>80</v>
      </c>
      <c r="E85" t="s">
        <v>91</v>
      </c>
      <c r="F85" s="34" t="s">
        <v>134</v>
      </c>
      <c r="G85" s="30">
        <v>9757</v>
      </c>
      <c r="H85" s="30">
        <v>447</v>
      </c>
      <c r="I85" s="30">
        <v>38</v>
      </c>
      <c r="J85" s="30">
        <v>10</v>
      </c>
      <c r="K85" s="30">
        <v>87</v>
      </c>
      <c r="L85" s="30">
        <f t="shared" si="5"/>
        <v>582</v>
      </c>
      <c r="M85" s="31">
        <f t="shared" si="6"/>
        <v>5.9649482422875884E-2</v>
      </c>
      <c r="N85" s="32">
        <f t="shared" si="7"/>
        <v>1</v>
      </c>
      <c r="O85" t="str">
        <f t="shared" si="8"/>
        <v>Night (21-05)</v>
      </c>
      <c r="P85" t="str">
        <f t="shared" si="9"/>
        <v>Saturday</v>
      </c>
    </row>
    <row r="86" spans="1:16" x14ac:dyDescent="0.25">
      <c r="A86" t="s">
        <v>245</v>
      </c>
      <c r="B86" s="29">
        <v>46069.75</v>
      </c>
      <c r="C86" t="s">
        <v>74</v>
      </c>
      <c r="D86" t="s">
        <v>75</v>
      </c>
      <c r="E86" t="s">
        <v>111</v>
      </c>
      <c r="F86" s="34" t="s">
        <v>246</v>
      </c>
      <c r="G86" s="30">
        <v>31148</v>
      </c>
      <c r="H86" s="30">
        <v>1373</v>
      </c>
      <c r="I86" s="30">
        <v>122</v>
      </c>
      <c r="J86" s="30">
        <v>26</v>
      </c>
      <c r="K86" s="30">
        <v>133</v>
      </c>
      <c r="L86" s="30">
        <f t="shared" si="5"/>
        <v>1654</v>
      </c>
      <c r="M86" s="31">
        <f t="shared" si="6"/>
        <v>5.3101322717349429E-2</v>
      </c>
      <c r="N86" s="32">
        <f t="shared" si="7"/>
        <v>18</v>
      </c>
      <c r="O86" t="str">
        <f t="shared" si="8"/>
        <v>Evening (17-20)</v>
      </c>
      <c r="P86" t="str">
        <f t="shared" si="9"/>
        <v>Monday</v>
      </c>
    </row>
    <row r="87" spans="1:16" ht="26.4" x14ac:dyDescent="0.25">
      <c r="A87" t="s">
        <v>247</v>
      </c>
      <c r="B87" s="29">
        <v>45963.25</v>
      </c>
      <c r="C87" t="s">
        <v>84</v>
      </c>
      <c r="D87" t="s">
        <v>80</v>
      </c>
      <c r="E87" t="s">
        <v>115</v>
      </c>
      <c r="F87" s="34" t="s">
        <v>98</v>
      </c>
      <c r="G87" s="30">
        <v>21810</v>
      </c>
      <c r="H87" s="30">
        <v>1209</v>
      </c>
      <c r="I87" s="30">
        <v>51</v>
      </c>
      <c r="J87" s="30">
        <v>45</v>
      </c>
      <c r="K87" s="30">
        <v>133</v>
      </c>
      <c r="L87" s="30">
        <f t="shared" si="5"/>
        <v>1438</v>
      </c>
      <c r="M87" s="31">
        <f t="shared" si="6"/>
        <v>6.593305823016965E-2</v>
      </c>
      <c r="N87" s="32">
        <f t="shared" si="7"/>
        <v>6</v>
      </c>
      <c r="O87" t="str">
        <f t="shared" si="8"/>
        <v>Morning (06-11)</v>
      </c>
      <c r="P87" t="str">
        <f t="shared" si="9"/>
        <v>Sunday</v>
      </c>
    </row>
    <row r="88" spans="1:16" x14ac:dyDescent="0.25">
      <c r="A88" t="s">
        <v>248</v>
      </c>
      <c r="B88" s="29">
        <v>46000.583333333299</v>
      </c>
      <c r="C88" t="s">
        <v>74</v>
      </c>
      <c r="D88" t="s">
        <v>75</v>
      </c>
      <c r="E88" t="s">
        <v>111</v>
      </c>
      <c r="F88" s="34" t="s">
        <v>249</v>
      </c>
      <c r="G88" s="30">
        <v>14523</v>
      </c>
      <c r="H88" s="30">
        <v>1158</v>
      </c>
      <c r="I88" s="30">
        <v>114</v>
      </c>
      <c r="J88" s="30">
        <v>148</v>
      </c>
      <c r="K88" s="30">
        <v>51</v>
      </c>
      <c r="L88" s="30">
        <f t="shared" si="5"/>
        <v>1471</v>
      </c>
      <c r="M88" s="31">
        <f t="shared" si="6"/>
        <v>0.10128761275218619</v>
      </c>
      <c r="N88" s="32">
        <f t="shared" si="7"/>
        <v>14</v>
      </c>
      <c r="O88" t="str">
        <f t="shared" si="8"/>
        <v>Afternoon (12-16)</v>
      </c>
      <c r="P88" t="str">
        <f t="shared" si="9"/>
        <v>Tuesday</v>
      </c>
    </row>
    <row r="89" spans="1:16" ht="26.4" x14ac:dyDescent="0.25">
      <c r="A89" t="s">
        <v>250</v>
      </c>
      <c r="B89" s="29">
        <v>45795.083333333299</v>
      </c>
      <c r="C89" t="s">
        <v>79</v>
      </c>
      <c r="D89" t="s">
        <v>85</v>
      </c>
      <c r="E89" t="s">
        <v>81</v>
      </c>
      <c r="F89" s="34" t="s">
        <v>251</v>
      </c>
      <c r="G89" s="30">
        <v>10086</v>
      </c>
      <c r="H89" s="30">
        <v>713</v>
      </c>
      <c r="I89" s="30">
        <v>59</v>
      </c>
      <c r="J89" s="30">
        <v>86</v>
      </c>
      <c r="K89" s="30">
        <v>61</v>
      </c>
      <c r="L89" s="30">
        <f t="shared" si="5"/>
        <v>919</v>
      </c>
      <c r="M89" s="31">
        <f t="shared" si="6"/>
        <v>9.1116398968867737E-2</v>
      </c>
      <c r="N89" s="32">
        <f t="shared" si="7"/>
        <v>2</v>
      </c>
      <c r="O89" t="str">
        <f t="shared" si="8"/>
        <v>Night (21-05)</v>
      </c>
      <c r="P89" t="str">
        <f t="shared" si="9"/>
        <v>Sunday</v>
      </c>
    </row>
    <row r="90" spans="1:16" x14ac:dyDescent="0.25">
      <c r="A90" t="s">
        <v>252</v>
      </c>
      <c r="B90" s="29">
        <v>45978.041666666701</v>
      </c>
      <c r="C90" t="s">
        <v>79</v>
      </c>
      <c r="D90" t="s">
        <v>128</v>
      </c>
      <c r="E90" t="s">
        <v>91</v>
      </c>
      <c r="F90" s="34" t="s">
        <v>253</v>
      </c>
      <c r="G90" s="30">
        <v>7828</v>
      </c>
      <c r="H90" s="30">
        <v>328</v>
      </c>
      <c r="I90" s="30">
        <v>17</v>
      </c>
      <c r="J90" s="30">
        <v>36</v>
      </c>
      <c r="K90" s="30">
        <v>8</v>
      </c>
      <c r="L90" s="30">
        <f t="shared" si="5"/>
        <v>389</v>
      </c>
      <c r="M90" s="31">
        <f t="shared" si="6"/>
        <v>4.9693408277976497E-2</v>
      </c>
      <c r="N90" s="32">
        <f t="shared" si="7"/>
        <v>1</v>
      </c>
      <c r="O90" t="str">
        <f t="shared" si="8"/>
        <v>Night (21-05)</v>
      </c>
      <c r="P90" t="str">
        <f t="shared" si="9"/>
        <v>Monday</v>
      </c>
    </row>
    <row r="91" spans="1:16" x14ac:dyDescent="0.25">
      <c r="A91" t="s">
        <v>254</v>
      </c>
      <c r="B91" s="29">
        <v>45903.458333333299</v>
      </c>
      <c r="C91" t="s">
        <v>79</v>
      </c>
      <c r="D91" t="s">
        <v>80</v>
      </c>
      <c r="E91" t="s">
        <v>111</v>
      </c>
      <c r="F91" s="34" t="s">
        <v>124</v>
      </c>
      <c r="G91" s="30">
        <v>36064</v>
      </c>
      <c r="H91" s="30">
        <v>2988</v>
      </c>
      <c r="I91" s="30">
        <v>135</v>
      </c>
      <c r="J91" s="30">
        <v>131</v>
      </c>
      <c r="K91" s="30">
        <v>350</v>
      </c>
      <c r="L91" s="30">
        <f t="shared" si="5"/>
        <v>3604</v>
      </c>
      <c r="M91" s="31">
        <f t="shared" si="6"/>
        <v>9.9933451641526172E-2</v>
      </c>
      <c r="N91" s="32">
        <f t="shared" si="7"/>
        <v>11</v>
      </c>
      <c r="O91" t="str">
        <f t="shared" si="8"/>
        <v>Morning (06-11)</v>
      </c>
      <c r="P91" t="str">
        <f t="shared" si="9"/>
        <v>Wednesday</v>
      </c>
    </row>
    <row r="92" spans="1:16" ht="26.4" x14ac:dyDescent="0.25">
      <c r="A92" t="s">
        <v>255</v>
      </c>
      <c r="B92" s="29">
        <v>46061.333333333299</v>
      </c>
      <c r="C92" t="s">
        <v>74</v>
      </c>
      <c r="D92" t="s">
        <v>75</v>
      </c>
      <c r="E92" t="s">
        <v>76</v>
      </c>
      <c r="F92" s="34" t="s">
        <v>256</v>
      </c>
      <c r="G92" s="30">
        <v>16356</v>
      </c>
      <c r="H92" s="30">
        <v>1361</v>
      </c>
      <c r="I92" s="30">
        <v>35</v>
      </c>
      <c r="J92" s="30">
        <v>40</v>
      </c>
      <c r="K92" s="30">
        <v>119</v>
      </c>
      <c r="L92" s="30">
        <f t="shared" si="5"/>
        <v>1555</v>
      </c>
      <c r="M92" s="31">
        <f t="shared" si="6"/>
        <v>9.5072144778674497E-2</v>
      </c>
      <c r="N92" s="32">
        <f t="shared" si="7"/>
        <v>8</v>
      </c>
      <c r="O92" t="str">
        <f t="shared" si="8"/>
        <v>Morning (06-11)</v>
      </c>
      <c r="P92" t="str">
        <f t="shared" si="9"/>
        <v>Sunday</v>
      </c>
    </row>
    <row r="93" spans="1:16" x14ac:dyDescent="0.25">
      <c r="A93" t="s">
        <v>257</v>
      </c>
      <c r="B93" s="29">
        <v>45968.75</v>
      </c>
      <c r="C93" t="s">
        <v>100</v>
      </c>
      <c r="D93" t="s">
        <v>85</v>
      </c>
      <c r="E93" t="s">
        <v>76</v>
      </c>
      <c r="F93" s="34" t="s">
        <v>170</v>
      </c>
      <c r="G93" s="30">
        <v>10275</v>
      </c>
      <c r="H93" s="30">
        <v>378</v>
      </c>
      <c r="I93" s="30">
        <v>8</v>
      </c>
      <c r="J93" s="30">
        <v>42</v>
      </c>
      <c r="K93" s="30">
        <v>57</v>
      </c>
      <c r="L93" s="30">
        <f t="shared" si="5"/>
        <v>485</v>
      </c>
      <c r="M93" s="31">
        <f t="shared" si="6"/>
        <v>4.7201946472019467E-2</v>
      </c>
      <c r="N93" s="32">
        <f t="shared" si="7"/>
        <v>18</v>
      </c>
      <c r="O93" t="str">
        <f t="shared" si="8"/>
        <v>Evening (17-20)</v>
      </c>
      <c r="P93" t="str">
        <f t="shared" si="9"/>
        <v>Friday</v>
      </c>
    </row>
    <row r="94" spans="1:16" x14ac:dyDescent="0.25">
      <c r="A94" t="s">
        <v>258</v>
      </c>
      <c r="B94" s="29">
        <v>46024.416666666701</v>
      </c>
      <c r="C94" t="s">
        <v>74</v>
      </c>
      <c r="D94" t="s">
        <v>80</v>
      </c>
      <c r="E94" t="s">
        <v>94</v>
      </c>
      <c r="F94" s="34" t="s">
        <v>259</v>
      </c>
      <c r="G94" s="30">
        <v>26506</v>
      </c>
      <c r="H94" s="30">
        <v>1374</v>
      </c>
      <c r="I94" s="30">
        <v>64</v>
      </c>
      <c r="J94" s="30">
        <v>149</v>
      </c>
      <c r="K94" s="30">
        <v>234</v>
      </c>
      <c r="L94" s="30">
        <f t="shared" si="5"/>
        <v>1821</v>
      </c>
      <c r="M94" s="31">
        <f t="shared" si="6"/>
        <v>6.8701426092205545E-2</v>
      </c>
      <c r="N94" s="32">
        <f t="shared" si="7"/>
        <v>10</v>
      </c>
      <c r="O94" t="str">
        <f t="shared" si="8"/>
        <v>Morning (06-11)</v>
      </c>
      <c r="P94" t="str">
        <f t="shared" si="9"/>
        <v>Friday</v>
      </c>
    </row>
    <row r="95" spans="1:16" x14ac:dyDescent="0.25">
      <c r="A95" t="s">
        <v>260</v>
      </c>
      <c r="B95" s="29">
        <v>46047.708333333299</v>
      </c>
      <c r="C95" t="s">
        <v>74</v>
      </c>
      <c r="D95" t="s">
        <v>85</v>
      </c>
      <c r="E95" t="s">
        <v>81</v>
      </c>
      <c r="F95" s="34" t="s">
        <v>261</v>
      </c>
      <c r="G95" s="30">
        <v>11028</v>
      </c>
      <c r="H95" s="30">
        <v>978</v>
      </c>
      <c r="I95" s="30">
        <v>76</v>
      </c>
      <c r="J95" s="30">
        <v>109</v>
      </c>
      <c r="K95" s="30">
        <v>13</v>
      </c>
      <c r="L95" s="30">
        <f t="shared" si="5"/>
        <v>1176</v>
      </c>
      <c r="M95" s="31">
        <f t="shared" si="6"/>
        <v>0.10663764961915125</v>
      </c>
      <c r="N95" s="32">
        <f t="shared" si="7"/>
        <v>17</v>
      </c>
      <c r="O95" t="str">
        <f t="shared" si="8"/>
        <v>Evening (17-20)</v>
      </c>
      <c r="P95" t="str">
        <f t="shared" si="9"/>
        <v>Sunday</v>
      </c>
    </row>
    <row r="96" spans="1:16" ht="26.4" x14ac:dyDescent="0.25">
      <c r="A96" t="s">
        <v>262</v>
      </c>
      <c r="B96" s="29">
        <v>45844.166666666701</v>
      </c>
      <c r="C96" t="s">
        <v>100</v>
      </c>
      <c r="D96" t="s">
        <v>75</v>
      </c>
      <c r="E96" t="s">
        <v>94</v>
      </c>
      <c r="F96" s="34" t="s">
        <v>263</v>
      </c>
      <c r="G96" s="30">
        <v>10531</v>
      </c>
      <c r="H96" s="30">
        <v>798</v>
      </c>
      <c r="I96" s="30">
        <v>24</v>
      </c>
      <c r="J96" s="30">
        <v>66</v>
      </c>
      <c r="K96" s="30">
        <v>26</v>
      </c>
      <c r="L96" s="30">
        <f t="shared" si="5"/>
        <v>914</v>
      </c>
      <c r="M96" s="31">
        <f t="shared" si="6"/>
        <v>8.6791377836862596E-2</v>
      </c>
      <c r="N96" s="32">
        <f t="shared" si="7"/>
        <v>4</v>
      </c>
      <c r="O96" t="str">
        <f t="shared" si="8"/>
        <v>Night (21-05)</v>
      </c>
      <c r="P96" t="str">
        <f t="shared" si="9"/>
        <v>Sunday</v>
      </c>
    </row>
    <row r="97" spans="1:16" ht="26.4" x14ac:dyDescent="0.25">
      <c r="A97" t="s">
        <v>264</v>
      </c>
      <c r="B97" s="29">
        <v>45807.583333333299</v>
      </c>
      <c r="C97" t="s">
        <v>79</v>
      </c>
      <c r="D97" t="s">
        <v>97</v>
      </c>
      <c r="E97" t="s">
        <v>131</v>
      </c>
      <c r="F97" s="34" t="s">
        <v>217</v>
      </c>
      <c r="G97" s="30">
        <v>7684</v>
      </c>
      <c r="H97" s="30">
        <v>443</v>
      </c>
      <c r="I97" s="30">
        <v>29</v>
      </c>
      <c r="J97" s="30">
        <v>29</v>
      </c>
      <c r="K97" s="30">
        <v>31</v>
      </c>
      <c r="L97" s="30">
        <f t="shared" si="5"/>
        <v>532</v>
      </c>
      <c r="M97" s="31">
        <f t="shared" si="6"/>
        <v>6.9234773555439874E-2</v>
      </c>
      <c r="N97" s="32">
        <f t="shared" si="7"/>
        <v>14</v>
      </c>
      <c r="O97" t="str">
        <f t="shared" si="8"/>
        <v>Afternoon (12-16)</v>
      </c>
      <c r="P97" t="str">
        <f t="shared" si="9"/>
        <v>Friday</v>
      </c>
    </row>
    <row r="98" spans="1:16" x14ac:dyDescent="0.25">
      <c r="A98" t="s">
        <v>265</v>
      </c>
      <c r="B98" s="29">
        <v>45777.291666666701</v>
      </c>
      <c r="C98" t="s">
        <v>84</v>
      </c>
      <c r="D98" t="s">
        <v>80</v>
      </c>
      <c r="E98" t="s">
        <v>81</v>
      </c>
      <c r="F98" s="34" t="s">
        <v>266</v>
      </c>
      <c r="G98" s="30">
        <v>7944</v>
      </c>
      <c r="H98" s="30">
        <v>498</v>
      </c>
      <c r="I98" s="30">
        <v>41</v>
      </c>
      <c r="J98" s="30">
        <v>33</v>
      </c>
      <c r="K98" s="30">
        <v>42</v>
      </c>
      <c r="L98" s="30">
        <f t="shared" si="5"/>
        <v>614</v>
      </c>
      <c r="M98" s="31">
        <f t="shared" si="6"/>
        <v>7.7291037260825785E-2</v>
      </c>
      <c r="N98" s="32">
        <f t="shared" si="7"/>
        <v>7</v>
      </c>
      <c r="O98" t="str">
        <f t="shared" si="8"/>
        <v>Morning (06-11)</v>
      </c>
      <c r="P98" t="str">
        <f t="shared" si="9"/>
        <v>Wednesday</v>
      </c>
    </row>
    <row r="99" spans="1:16" ht="26.4" x14ac:dyDescent="0.25">
      <c r="A99" t="s">
        <v>267</v>
      </c>
      <c r="B99" s="29">
        <v>46098.5</v>
      </c>
      <c r="C99" t="s">
        <v>79</v>
      </c>
      <c r="D99" t="s">
        <v>128</v>
      </c>
      <c r="E99" t="s">
        <v>94</v>
      </c>
      <c r="F99" s="34" t="s">
        <v>178</v>
      </c>
      <c r="G99" s="30">
        <v>8950</v>
      </c>
      <c r="H99" s="30">
        <v>399</v>
      </c>
      <c r="I99" s="30">
        <v>14</v>
      </c>
      <c r="J99" s="30">
        <v>12</v>
      </c>
      <c r="K99" s="30">
        <v>17</v>
      </c>
      <c r="L99" s="30">
        <f t="shared" si="5"/>
        <v>442</v>
      </c>
      <c r="M99" s="31">
        <f t="shared" si="6"/>
        <v>4.9385474860335198E-2</v>
      </c>
      <c r="N99" s="32">
        <f t="shared" si="7"/>
        <v>12</v>
      </c>
      <c r="O99" t="str">
        <f t="shared" si="8"/>
        <v>Afternoon (12-16)</v>
      </c>
      <c r="P99" t="str">
        <f t="shared" si="9"/>
        <v>Tuesday</v>
      </c>
    </row>
    <row r="100" spans="1:16" ht="26.4" x14ac:dyDescent="0.25">
      <c r="A100" t="s">
        <v>268</v>
      </c>
      <c r="B100" s="29">
        <v>45804.5</v>
      </c>
      <c r="C100" t="s">
        <v>79</v>
      </c>
      <c r="D100" t="s">
        <v>75</v>
      </c>
      <c r="E100" t="s">
        <v>91</v>
      </c>
      <c r="F100" s="34" t="s">
        <v>269</v>
      </c>
      <c r="G100" s="30">
        <v>20703</v>
      </c>
      <c r="H100" s="30">
        <v>1401</v>
      </c>
      <c r="I100" s="30">
        <v>135</v>
      </c>
      <c r="J100" s="30">
        <v>115</v>
      </c>
      <c r="K100" s="30">
        <v>78</v>
      </c>
      <c r="L100" s="30">
        <f t="shared" si="5"/>
        <v>1729</v>
      </c>
      <c r="M100" s="31">
        <f t="shared" si="6"/>
        <v>8.3514466502439266E-2</v>
      </c>
      <c r="N100" s="32">
        <f t="shared" si="7"/>
        <v>12</v>
      </c>
      <c r="O100" t="str">
        <f t="shared" si="8"/>
        <v>Afternoon (12-16)</v>
      </c>
      <c r="P100" t="str">
        <f t="shared" si="9"/>
        <v>Tuesday</v>
      </c>
    </row>
    <row r="101" spans="1:16" ht="26.4" x14ac:dyDescent="0.25">
      <c r="A101" t="s">
        <v>270</v>
      </c>
      <c r="B101" s="29">
        <v>45765.25</v>
      </c>
      <c r="C101" t="s">
        <v>74</v>
      </c>
      <c r="D101" t="s">
        <v>97</v>
      </c>
      <c r="E101" t="s">
        <v>115</v>
      </c>
      <c r="F101" s="34" t="s">
        <v>243</v>
      </c>
      <c r="G101" s="30">
        <v>7713</v>
      </c>
      <c r="H101" s="30">
        <v>386</v>
      </c>
      <c r="I101" s="30">
        <v>34</v>
      </c>
      <c r="J101" s="30">
        <v>33</v>
      </c>
      <c r="K101" s="30">
        <v>28</v>
      </c>
      <c r="L101" s="30">
        <f t="shared" si="5"/>
        <v>481</v>
      </c>
      <c r="M101" s="31">
        <f t="shared" si="6"/>
        <v>6.2362245559445091E-2</v>
      </c>
      <c r="N101" s="32">
        <f t="shared" si="7"/>
        <v>6</v>
      </c>
      <c r="O101" t="str">
        <f t="shared" si="8"/>
        <v>Morning (06-11)</v>
      </c>
      <c r="P101" t="str">
        <f t="shared" si="9"/>
        <v>Friday</v>
      </c>
    </row>
    <row r="102" spans="1:16" ht="26.4" x14ac:dyDescent="0.25">
      <c r="A102" t="s">
        <v>271</v>
      </c>
      <c r="B102" s="29">
        <v>45866.208333333299</v>
      </c>
      <c r="C102" t="s">
        <v>74</v>
      </c>
      <c r="D102" t="s">
        <v>80</v>
      </c>
      <c r="E102" t="s">
        <v>81</v>
      </c>
      <c r="F102" s="34" t="s">
        <v>272</v>
      </c>
      <c r="G102" s="30">
        <v>9251</v>
      </c>
      <c r="H102" s="30">
        <v>423</v>
      </c>
      <c r="I102" s="30">
        <v>25</v>
      </c>
      <c r="J102" s="30">
        <v>20</v>
      </c>
      <c r="K102" s="30">
        <v>41</v>
      </c>
      <c r="L102" s="30">
        <f t="shared" si="5"/>
        <v>509</v>
      </c>
      <c r="M102" s="31">
        <f t="shared" si="6"/>
        <v>5.5021078802291644E-2</v>
      </c>
      <c r="N102" s="32">
        <f t="shared" si="7"/>
        <v>5</v>
      </c>
      <c r="O102" t="str">
        <f t="shared" si="8"/>
        <v>Night (21-05)</v>
      </c>
      <c r="P102" t="str">
        <f t="shared" si="9"/>
        <v>Monday</v>
      </c>
    </row>
    <row r="103" spans="1:16" x14ac:dyDescent="0.25">
      <c r="A103" t="s">
        <v>273</v>
      </c>
      <c r="B103" s="29">
        <v>45919.208333333299</v>
      </c>
      <c r="C103" t="s">
        <v>79</v>
      </c>
      <c r="D103" t="s">
        <v>75</v>
      </c>
      <c r="E103" t="s">
        <v>94</v>
      </c>
      <c r="F103" s="34" t="s">
        <v>274</v>
      </c>
      <c r="G103" s="30">
        <v>11535</v>
      </c>
      <c r="H103" s="30">
        <v>680</v>
      </c>
      <c r="I103" s="30">
        <v>43</v>
      </c>
      <c r="J103" s="30">
        <v>39</v>
      </c>
      <c r="K103" s="30">
        <v>54</v>
      </c>
      <c r="L103" s="30">
        <f t="shared" si="5"/>
        <v>816</v>
      </c>
      <c r="M103" s="31">
        <f t="shared" si="6"/>
        <v>7.0741222366710016E-2</v>
      </c>
      <c r="N103" s="32">
        <f t="shared" si="7"/>
        <v>5</v>
      </c>
      <c r="O103" t="str">
        <f t="shared" si="8"/>
        <v>Night (21-05)</v>
      </c>
      <c r="P103" t="str">
        <f t="shared" si="9"/>
        <v>Friday</v>
      </c>
    </row>
    <row r="104" spans="1:16" x14ac:dyDescent="0.25">
      <c r="A104" t="s">
        <v>275</v>
      </c>
      <c r="B104" s="29">
        <v>46058.416666666701</v>
      </c>
      <c r="C104" t="s">
        <v>84</v>
      </c>
      <c r="D104" t="s">
        <v>80</v>
      </c>
      <c r="E104" t="s">
        <v>81</v>
      </c>
      <c r="F104" s="34" t="s">
        <v>144</v>
      </c>
      <c r="G104" s="30">
        <v>21347</v>
      </c>
      <c r="H104" s="30">
        <v>1622</v>
      </c>
      <c r="I104" s="30">
        <v>41</v>
      </c>
      <c r="J104" s="30">
        <v>20</v>
      </c>
      <c r="K104" s="30">
        <v>132</v>
      </c>
      <c r="L104" s="30">
        <f t="shared" si="5"/>
        <v>1815</v>
      </c>
      <c r="M104" s="31">
        <f t="shared" si="6"/>
        <v>8.5023656719913812E-2</v>
      </c>
      <c r="N104" s="32">
        <f t="shared" si="7"/>
        <v>10</v>
      </c>
      <c r="O104" t="str">
        <f t="shared" si="8"/>
        <v>Morning (06-11)</v>
      </c>
      <c r="P104" t="str">
        <f t="shared" si="9"/>
        <v>Thursday</v>
      </c>
    </row>
    <row r="105" spans="1:16" ht="26.4" x14ac:dyDescent="0.25">
      <c r="A105" t="s">
        <v>276</v>
      </c>
      <c r="B105" s="29">
        <v>45859.791666666701</v>
      </c>
      <c r="C105" t="s">
        <v>79</v>
      </c>
      <c r="D105" t="s">
        <v>85</v>
      </c>
      <c r="E105" t="s">
        <v>88</v>
      </c>
      <c r="F105" s="34" t="s">
        <v>277</v>
      </c>
      <c r="G105" s="30">
        <v>6126</v>
      </c>
      <c r="H105" s="30">
        <v>405</v>
      </c>
      <c r="I105" s="30">
        <v>11</v>
      </c>
      <c r="J105" s="30">
        <v>50</v>
      </c>
      <c r="K105" s="30">
        <v>30</v>
      </c>
      <c r="L105" s="30">
        <f t="shared" si="5"/>
        <v>496</v>
      </c>
      <c r="M105" s="31">
        <f t="shared" si="6"/>
        <v>8.0966372837087824E-2</v>
      </c>
      <c r="N105" s="32">
        <f t="shared" si="7"/>
        <v>19</v>
      </c>
      <c r="O105" t="str">
        <f t="shared" si="8"/>
        <v>Evening (17-20)</v>
      </c>
      <c r="P105" t="str">
        <f t="shared" si="9"/>
        <v>Monday</v>
      </c>
    </row>
    <row r="106" spans="1:16" x14ac:dyDescent="0.25">
      <c r="A106" t="s">
        <v>278</v>
      </c>
      <c r="B106" s="29">
        <v>45785.833333333299</v>
      </c>
      <c r="C106" t="s">
        <v>74</v>
      </c>
      <c r="D106" t="s">
        <v>85</v>
      </c>
      <c r="E106" t="s">
        <v>88</v>
      </c>
      <c r="F106" s="34" t="s">
        <v>190</v>
      </c>
      <c r="G106" s="30">
        <v>6919</v>
      </c>
      <c r="H106" s="30">
        <v>251</v>
      </c>
      <c r="I106" s="30">
        <v>21</v>
      </c>
      <c r="J106" s="30">
        <v>7</v>
      </c>
      <c r="K106" s="30">
        <v>47</v>
      </c>
      <c r="L106" s="30">
        <f t="shared" si="5"/>
        <v>326</v>
      </c>
      <c r="M106" s="31">
        <f t="shared" si="6"/>
        <v>4.7116635351929469E-2</v>
      </c>
      <c r="N106" s="32">
        <f t="shared" si="7"/>
        <v>20</v>
      </c>
      <c r="O106" t="str">
        <f t="shared" si="8"/>
        <v>Evening (17-20)</v>
      </c>
      <c r="P106" t="str">
        <f t="shared" si="9"/>
        <v>Thursday</v>
      </c>
    </row>
    <row r="107" spans="1:16" x14ac:dyDescent="0.25">
      <c r="A107" t="s">
        <v>279</v>
      </c>
      <c r="B107" s="29">
        <v>46025.25</v>
      </c>
      <c r="C107" t="s">
        <v>100</v>
      </c>
      <c r="D107" t="s">
        <v>80</v>
      </c>
      <c r="E107" t="s">
        <v>115</v>
      </c>
      <c r="F107" s="34" t="s">
        <v>280</v>
      </c>
      <c r="G107" s="30">
        <v>16746</v>
      </c>
      <c r="H107" s="30">
        <v>1459</v>
      </c>
      <c r="I107" s="30">
        <v>36</v>
      </c>
      <c r="J107" s="30">
        <v>37</v>
      </c>
      <c r="K107" s="30">
        <v>70</v>
      </c>
      <c r="L107" s="30">
        <f t="shared" si="5"/>
        <v>1602</v>
      </c>
      <c r="M107" s="31">
        <f t="shared" si="6"/>
        <v>9.5664636331064132E-2</v>
      </c>
      <c r="N107" s="32">
        <f t="shared" si="7"/>
        <v>6</v>
      </c>
      <c r="O107" t="str">
        <f t="shared" si="8"/>
        <v>Morning (06-11)</v>
      </c>
      <c r="P107" t="str">
        <f t="shared" si="9"/>
        <v>Saturday</v>
      </c>
    </row>
    <row r="108" spans="1:16" x14ac:dyDescent="0.25">
      <c r="A108" t="s">
        <v>281</v>
      </c>
      <c r="B108" s="29">
        <v>45991.416666666701</v>
      </c>
      <c r="C108" t="s">
        <v>74</v>
      </c>
      <c r="D108" t="s">
        <v>80</v>
      </c>
      <c r="E108" t="s">
        <v>76</v>
      </c>
      <c r="F108" s="34" t="s">
        <v>282</v>
      </c>
      <c r="G108" s="30">
        <v>17952</v>
      </c>
      <c r="H108" s="30">
        <v>1533</v>
      </c>
      <c r="I108" s="30">
        <v>145</v>
      </c>
      <c r="J108" s="30">
        <v>136</v>
      </c>
      <c r="K108" s="30">
        <v>174</v>
      </c>
      <c r="L108" s="30">
        <f t="shared" si="5"/>
        <v>1988</v>
      </c>
      <c r="M108" s="31">
        <f t="shared" si="6"/>
        <v>0.11073975044563279</v>
      </c>
      <c r="N108" s="32">
        <f t="shared" si="7"/>
        <v>10</v>
      </c>
      <c r="O108" t="str">
        <f t="shared" si="8"/>
        <v>Morning (06-11)</v>
      </c>
      <c r="P108" t="str">
        <f t="shared" si="9"/>
        <v>Sunday</v>
      </c>
    </row>
    <row r="109" spans="1:16" x14ac:dyDescent="0.25">
      <c r="A109" t="s">
        <v>283</v>
      </c>
      <c r="B109" s="29">
        <v>45848.916666666701</v>
      </c>
      <c r="C109" t="s">
        <v>74</v>
      </c>
      <c r="D109" t="s">
        <v>85</v>
      </c>
      <c r="E109" t="s">
        <v>111</v>
      </c>
      <c r="F109" s="34" t="s">
        <v>284</v>
      </c>
      <c r="G109" s="30">
        <v>36987</v>
      </c>
      <c r="H109" s="30">
        <v>1925</v>
      </c>
      <c r="I109" s="30">
        <v>57</v>
      </c>
      <c r="J109" s="30">
        <v>46</v>
      </c>
      <c r="K109" s="30">
        <v>367</v>
      </c>
      <c r="L109" s="30">
        <f t="shared" si="5"/>
        <v>2395</v>
      </c>
      <c r="M109" s="31">
        <f t="shared" si="6"/>
        <v>6.475248060129235E-2</v>
      </c>
      <c r="N109" s="32">
        <f t="shared" si="7"/>
        <v>22</v>
      </c>
      <c r="O109" t="str">
        <f t="shared" si="8"/>
        <v>Night (21-05)</v>
      </c>
      <c r="P109" t="str">
        <f t="shared" si="9"/>
        <v>Thursday</v>
      </c>
    </row>
    <row r="110" spans="1:16" ht="26.4" x14ac:dyDescent="0.25">
      <c r="A110" t="s">
        <v>285</v>
      </c>
      <c r="B110" s="29">
        <v>46067.583333333299</v>
      </c>
      <c r="C110" t="s">
        <v>74</v>
      </c>
      <c r="D110" t="s">
        <v>75</v>
      </c>
      <c r="E110" t="s">
        <v>111</v>
      </c>
      <c r="F110" s="34" t="s">
        <v>286</v>
      </c>
      <c r="G110" s="30">
        <v>33223</v>
      </c>
      <c r="H110" s="30">
        <v>2844</v>
      </c>
      <c r="I110" s="30">
        <v>84</v>
      </c>
      <c r="J110" s="30">
        <v>338</v>
      </c>
      <c r="K110" s="30">
        <v>316</v>
      </c>
      <c r="L110" s="30">
        <f t="shared" si="5"/>
        <v>3582</v>
      </c>
      <c r="M110" s="31">
        <f t="shared" si="6"/>
        <v>0.10781687385245162</v>
      </c>
      <c r="N110" s="32">
        <f t="shared" si="7"/>
        <v>14</v>
      </c>
      <c r="O110" t="str">
        <f t="shared" si="8"/>
        <v>Afternoon (12-16)</v>
      </c>
      <c r="P110" t="str">
        <f t="shared" si="9"/>
        <v>Saturday</v>
      </c>
    </row>
    <row r="111" spans="1:16" x14ac:dyDescent="0.25">
      <c r="A111" t="s">
        <v>287</v>
      </c>
      <c r="B111" s="29">
        <v>45998.208333333299</v>
      </c>
      <c r="C111" t="s">
        <v>100</v>
      </c>
      <c r="D111" t="s">
        <v>128</v>
      </c>
      <c r="E111" t="s">
        <v>131</v>
      </c>
      <c r="F111" s="34" t="s">
        <v>288</v>
      </c>
      <c r="G111" s="30">
        <v>9924</v>
      </c>
      <c r="H111" s="30">
        <v>307</v>
      </c>
      <c r="I111" s="30">
        <v>12</v>
      </c>
      <c r="J111" s="30">
        <v>8</v>
      </c>
      <c r="K111" s="30">
        <v>89</v>
      </c>
      <c r="L111" s="30">
        <f t="shared" si="5"/>
        <v>416</v>
      </c>
      <c r="M111" s="31">
        <f t="shared" si="6"/>
        <v>4.1918581217251109E-2</v>
      </c>
      <c r="N111" s="32">
        <f t="shared" si="7"/>
        <v>5</v>
      </c>
      <c r="O111" t="str">
        <f t="shared" si="8"/>
        <v>Night (21-05)</v>
      </c>
      <c r="P111" t="str">
        <f t="shared" si="9"/>
        <v>Sunday</v>
      </c>
    </row>
    <row r="112" spans="1:16" ht="26.4" x14ac:dyDescent="0.25">
      <c r="A112" t="s">
        <v>289</v>
      </c>
      <c r="B112" s="29">
        <v>46094.416666666701</v>
      </c>
      <c r="C112" t="s">
        <v>79</v>
      </c>
      <c r="D112" t="s">
        <v>80</v>
      </c>
      <c r="E112" t="s">
        <v>111</v>
      </c>
      <c r="F112" s="34" t="s">
        <v>146</v>
      </c>
      <c r="G112" s="30">
        <v>23472</v>
      </c>
      <c r="H112" s="30">
        <v>853</v>
      </c>
      <c r="I112" s="30">
        <v>56</v>
      </c>
      <c r="J112" s="30">
        <v>81</v>
      </c>
      <c r="K112" s="30">
        <v>166</v>
      </c>
      <c r="L112" s="30">
        <f t="shared" si="5"/>
        <v>1156</v>
      </c>
      <c r="M112" s="31">
        <f t="shared" si="6"/>
        <v>4.9250170415814587E-2</v>
      </c>
      <c r="N112" s="32">
        <f t="shared" si="7"/>
        <v>10</v>
      </c>
      <c r="O112" t="str">
        <f t="shared" si="8"/>
        <v>Morning (06-11)</v>
      </c>
      <c r="P112" t="str">
        <f t="shared" si="9"/>
        <v>Friday</v>
      </c>
    </row>
    <row r="113" spans="1:16" x14ac:dyDescent="0.25">
      <c r="A113" t="s">
        <v>290</v>
      </c>
      <c r="B113" s="29">
        <v>45865.958333333299</v>
      </c>
      <c r="C113" t="s">
        <v>74</v>
      </c>
      <c r="D113" t="s">
        <v>128</v>
      </c>
      <c r="E113" t="s">
        <v>81</v>
      </c>
      <c r="F113" s="34" t="s">
        <v>291</v>
      </c>
      <c r="G113" s="30">
        <v>2366</v>
      </c>
      <c r="H113" s="30">
        <v>72</v>
      </c>
      <c r="I113" s="30">
        <v>7</v>
      </c>
      <c r="J113" s="30">
        <v>9</v>
      </c>
      <c r="K113" s="30">
        <v>4</v>
      </c>
      <c r="L113" s="30">
        <f t="shared" si="5"/>
        <v>92</v>
      </c>
      <c r="M113" s="31">
        <f t="shared" si="6"/>
        <v>3.888419273034658E-2</v>
      </c>
      <c r="N113" s="32">
        <f t="shared" si="7"/>
        <v>23</v>
      </c>
      <c r="O113" t="str">
        <f t="shared" si="8"/>
        <v>Night (21-05)</v>
      </c>
      <c r="P113" t="str">
        <f t="shared" si="9"/>
        <v>Sunday</v>
      </c>
    </row>
    <row r="114" spans="1:16" x14ac:dyDescent="0.25">
      <c r="A114" t="s">
        <v>292</v>
      </c>
      <c r="B114" s="29">
        <v>45765.416666666701</v>
      </c>
      <c r="C114" t="s">
        <v>79</v>
      </c>
      <c r="D114" t="s">
        <v>85</v>
      </c>
      <c r="E114" t="s">
        <v>111</v>
      </c>
      <c r="F114" s="34" t="s">
        <v>293</v>
      </c>
      <c r="G114" s="30">
        <v>12449</v>
      </c>
      <c r="H114" s="30">
        <v>875</v>
      </c>
      <c r="I114" s="30">
        <v>28</v>
      </c>
      <c r="J114" s="30">
        <v>119</v>
      </c>
      <c r="K114" s="30">
        <v>70</v>
      </c>
      <c r="L114" s="30">
        <f t="shared" si="5"/>
        <v>1092</v>
      </c>
      <c r="M114" s="31">
        <f t="shared" si="6"/>
        <v>8.7717888987067241E-2</v>
      </c>
      <c r="N114" s="32">
        <f t="shared" si="7"/>
        <v>10</v>
      </c>
      <c r="O114" t="str">
        <f t="shared" si="8"/>
        <v>Morning (06-11)</v>
      </c>
      <c r="P114" t="str">
        <f t="shared" si="9"/>
        <v>Friday</v>
      </c>
    </row>
    <row r="115" spans="1:16" x14ac:dyDescent="0.25">
      <c r="A115" t="s">
        <v>294</v>
      </c>
      <c r="B115" s="29">
        <v>46071.833333333299</v>
      </c>
      <c r="C115" t="s">
        <v>84</v>
      </c>
      <c r="D115" t="s">
        <v>128</v>
      </c>
      <c r="E115" t="s">
        <v>88</v>
      </c>
      <c r="F115" s="34" t="s">
        <v>295</v>
      </c>
      <c r="G115" s="30">
        <v>4966</v>
      </c>
      <c r="H115" s="30">
        <v>190</v>
      </c>
      <c r="I115" s="30">
        <v>10</v>
      </c>
      <c r="J115" s="30">
        <v>27</v>
      </c>
      <c r="K115" s="30">
        <v>20</v>
      </c>
      <c r="L115" s="30">
        <f t="shared" si="5"/>
        <v>247</v>
      </c>
      <c r="M115" s="31">
        <f t="shared" si="6"/>
        <v>4.9738219895287955E-2</v>
      </c>
      <c r="N115" s="32">
        <f t="shared" si="7"/>
        <v>20</v>
      </c>
      <c r="O115" t="str">
        <f t="shared" si="8"/>
        <v>Evening (17-20)</v>
      </c>
      <c r="P115" t="str">
        <f t="shared" si="9"/>
        <v>Wednesday</v>
      </c>
    </row>
    <row r="116" spans="1:16" x14ac:dyDescent="0.25">
      <c r="A116" t="s">
        <v>296</v>
      </c>
      <c r="B116" s="29">
        <v>46035.458333333299</v>
      </c>
      <c r="C116" t="s">
        <v>84</v>
      </c>
      <c r="D116" t="s">
        <v>85</v>
      </c>
      <c r="E116" t="s">
        <v>131</v>
      </c>
      <c r="F116" s="34" t="s">
        <v>297</v>
      </c>
      <c r="G116" s="30">
        <v>22867</v>
      </c>
      <c r="H116" s="30">
        <v>1758</v>
      </c>
      <c r="I116" s="30">
        <v>168</v>
      </c>
      <c r="J116" s="30">
        <v>227</v>
      </c>
      <c r="K116" s="30">
        <v>59</v>
      </c>
      <c r="L116" s="30">
        <f t="shared" si="5"/>
        <v>2212</v>
      </c>
      <c r="M116" s="31">
        <f t="shared" si="6"/>
        <v>9.6733283771373593E-2</v>
      </c>
      <c r="N116" s="32">
        <f t="shared" si="7"/>
        <v>11</v>
      </c>
      <c r="O116" t="str">
        <f t="shared" si="8"/>
        <v>Morning (06-11)</v>
      </c>
      <c r="P116" t="str">
        <f t="shared" si="9"/>
        <v>Tuesday</v>
      </c>
    </row>
    <row r="117" spans="1:16" ht="26.4" x14ac:dyDescent="0.25">
      <c r="A117" t="s">
        <v>298</v>
      </c>
      <c r="B117" s="29">
        <v>46022.708333333299</v>
      </c>
      <c r="C117" t="s">
        <v>100</v>
      </c>
      <c r="D117" t="s">
        <v>85</v>
      </c>
      <c r="E117" t="s">
        <v>115</v>
      </c>
      <c r="F117" s="34" t="s">
        <v>107</v>
      </c>
      <c r="G117" s="30">
        <v>4338</v>
      </c>
      <c r="H117" s="30">
        <v>382</v>
      </c>
      <c r="I117" s="30">
        <v>37</v>
      </c>
      <c r="J117" s="30">
        <v>19</v>
      </c>
      <c r="K117" s="30">
        <v>35</v>
      </c>
      <c r="L117" s="30">
        <f t="shared" si="5"/>
        <v>473</v>
      </c>
      <c r="M117" s="31">
        <f t="shared" si="6"/>
        <v>0.10903642231443061</v>
      </c>
      <c r="N117" s="32">
        <f t="shared" si="7"/>
        <v>17</v>
      </c>
      <c r="O117" t="str">
        <f t="shared" si="8"/>
        <v>Evening (17-20)</v>
      </c>
      <c r="P117" t="str">
        <f t="shared" si="9"/>
        <v>Wednesday</v>
      </c>
    </row>
    <row r="118" spans="1:16" ht="26.4" x14ac:dyDescent="0.25">
      <c r="A118" t="s">
        <v>299</v>
      </c>
      <c r="B118" s="29">
        <v>46095.416666666701</v>
      </c>
      <c r="C118" t="s">
        <v>79</v>
      </c>
      <c r="D118" t="s">
        <v>85</v>
      </c>
      <c r="E118" t="s">
        <v>81</v>
      </c>
      <c r="F118" s="34" t="s">
        <v>178</v>
      </c>
      <c r="G118" s="30">
        <v>5388</v>
      </c>
      <c r="H118" s="30">
        <v>470</v>
      </c>
      <c r="I118" s="30">
        <v>43</v>
      </c>
      <c r="J118" s="30">
        <v>31</v>
      </c>
      <c r="K118" s="30">
        <v>14</v>
      </c>
      <c r="L118" s="30">
        <f t="shared" si="5"/>
        <v>558</v>
      </c>
      <c r="M118" s="31">
        <f t="shared" si="6"/>
        <v>0.10356347438752785</v>
      </c>
      <c r="N118" s="32">
        <f t="shared" si="7"/>
        <v>10</v>
      </c>
      <c r="O118" t="str">
        <f t="shared" si="8"/>
        <v>Morning (06-11)</v>
      </c>
      <c r="P118" t="str">
        <f t="shared" si="9"/>
        <v>Saturday</v>
      </c>
    </row>
    <row r="119" spans="1:16" x14ac:dyDescent="0.25">
      <c r="A119" t="s">
        <v>300</v>
      </c>
      <c r="B119" s="29">
        <v>45921.375</v>
      </c>
      <c r="C119" t="s">
        <v>74</v>
      </c>
      <c r="D119" t="s">
        <v>85</v>
      </c>
      <c r="E119" t="s">
        <v>91</v>
      </c>
      <c r="F119" s="34" t="s">
        <v>301</v>
      </c>
      <c r="G119" s="30">
        <v>4150</v>
      </c>
      <c r="H119" s="30">
        <v>298</v>
      </c>
      <c r="I119" s="30">
        <v>26</v>
      </c>
      <c r="J119" s="30">
        <v>41</v>
      </c>
      <c r="K119" s="30">
        <v>24</v>
      </c>
      <c r="L119" s="30">
        <f t="shared" si="5"/>
        <v>389</v>
      </c>
      <c r="M119" s="31">
        <f t="shared" si="6"/>
        <v>9.3734939759036143E-2</v>
      </c>
      <c r="N119" s="32">
        <f t="shared" si="7"/>
        <v>9</v>
      </c>
      <c r="O119" t="str">
        <f t="shared" si="8"/>
        <v>Morning (06-11)</v>
      </c>
      <c r="P119" t="str">
        <f t="shared" si="9"/>
        <v>Sunday</v>
      </c>
    </row>
    <row r="120" spans="1:16" ht="26.4" x14ac:dyDescent="0.25">
      <c r="A120" t="s">
        <v>302</v>
      </c>
      <c r="B120" s="29">
        <v>45752.5</v>
      </c>
      <c r="C120" t="s">
        <v>100</v>
      </c>
      <c r="D120" t="s">
        <v>85</v>
      </c>
      <c r="E120" t="s">
        <v>88</v>
      </c>
      <c r="F120" s="34" t="s">
        <v>303</v>
      </c>
      <c r="G120" s="30">
        <v>6564</v>
      </c>
      <c r="H120" s="30">
        <v>541</v>
      </c>
      <c r="I120" s="30">
        <v>50</v>
      </c>
      <c r="J120" s="30">
        <v>47</v>
      </c>
      <c r="K120" s="30">
        <v>60</v>
      </c>
      <c r="L120" s="30">
        <f t="shared" si="5"/>
        <v>698</v>
      </c>
      <c r="M120" s="31">
        <f t="shared" si="6"/>
        <v>0.10633759902498477</v>
      </c>
      <c r="N120" s="32">
        <f t="shared" si="7"/>
        <v>12</v>
      </c>
      <c r="O120" t="str">
        <f t="shared" si="8"/>
        <v>Afternoon (12-16)</v>
      </c>
      <c r="P120" t="str">
        <f t="shared" si="9"/>
        <v>Saturday</v>
      </c>
    </row>
    <row r="121" spans="1:16" x14ac:dyDescent="0.25">
      <c r="A121" t="s">
        <v>304</v>
      </c>
      <c r="B121" s="29">
        <v>46026.083333333299</v>
      </c>
      <c r="C121" t="s">
        <v>74</v>
      </c>
      <c r="D121" t="s">
        <v>80</v>
      </c>
      <c r="E121" t="s">
        <v>94</v>
      </c>
      <c r="F121" s="34" t="s">
        <v>305</v>
      </c>
      <c r="G121" s="30">
        <v>48333</v>
      </c>
      <c r="H121" s="30">
        <v>2314</v>
      </c>
      <c r="I121" s="30">
        <v>159</v>
      </c>
      <c r="J121" s="30">
        <v>222</v>
      </c>
      <c r="K121" s="30">
        <v>273</v>
      </c>
      <c r="L121" s="30">
        <f t="shared" si="5"/>
        <v>2968</v>
      </c>
      <c r="M121" s="31">
        <f t="shared" si="6"/>
        <v>6.1407320050483105E-2</v>
      </c>
      <c r="N121" s="32">
        <f t="shared" si="7"/>
        <v>2</v>
      </c>
      <c r="O121" t="str">
        <f t="shared" si="8"/>
        <v>Night (21-05)</v>
      </c>
      <c r="P121" t="str">
        <f t="shared" si="9"/>
        <v>Sunday</v>
      </c>
    </row>
    <row r="122" spans="1:16" x14ac:dyDescent="0.25">
      <c r="A122" t="s">
        <v>306</v>
      </c>
      <c r="B122" s="29">
        <v>46095.75</v>
      </c>
      <c r="C122" t="s">
        <v>79</v>
      </c>
      <c r="D122" t="s">
        <v>75</v>
      </c>
      <c r="E122" t="s">
        <v>115</v>
      </c>
      <c r="F122" s="34" t="s">
        <v>113</v>
      </c>
      <c r="G122" s="30">
        <v>13626</v>
      </c>
      <c r="H122" s="30">
        <v>866</v>
      </c>
      <c r="I122" s="30">
        <v>53</v>
      </c>
      <c r="J122" s="30">
        <v>126</v>
      </c>
      <c r="K122" s="30">
        <v>123</v>
      </c>
      <c r="L122" s="30">
        <f t="shared" si="5"/>
        <v>1168</v>
      </c>
      <c r="M122" s="31">
        <f t="shared" si="6"/>
        <v>8.5718479377660362E-2</v>
      </c>
      <c r="N122" s="32">
        <f t="shared" si="7"/>
        <v>18</v>
      </c>
      <c r="O122" t="str">
        <f t="shared" si="8"/>
        <v>Evening (17-20)</v>
      </c>
      <c r="P122" t="str">
        <f t="shared" si="9"/>
        <v>Saturday</v>
      </c>
    </row>
    <row r="123" spans="1:16" ht="26.4" x14ac:dyDescent="0.25">
      <c r="A123" t="s">
        <v>307</v>
      </c>
      <c r="B123" s="29">
        <v>45953.333333333299</v>
      </c>
      <c r="C123" t="s">
        <v>100</v>
      </c>
      <c r="D123" t="s">
        <v>80</v>
      </c>
      <c r="E123" t="s">
        <v>76</v>
      </c>
      <c r="F123" s="34" t="s">
        <v>204</v>
      </c>
      <c r="G123" s="30">
        <v>14993</v>
      </c>
      <c r="H123" s="30">
        <v>716</v>
      </c>
      <c r="I123" s="30">
        <v>41</v>
      </c>
      <c r="J123" s="30">
        <v>29</v>
      </c>
      <c r="K123" s="30">
        <v>67</v>
      </c>
      <c r="L123" s="30">
        <f t="shared" si="5"/>
        <v>853</v>
      </c>
      <c r="M123" s="31">
        <f t="shared" si="6"/>
        <v>5.6893216834522781E-2</v>
      </c>
      <c r="N123" s="32">
        <f t="shared" si="7"/>
        <v>8</v>
      </c>
      <c r="O123" t="str">
        <f t="shared" si="8"/>
        <v>Morning (06-11)</v>
      </c>
      <c r="P123" t="str">
        <f t="shared" si="9"/>
        <v>Thursday</v>
      </c>
    </row>
    <row r="124" spans="1:16" x14ac:dyDescent="0.25">
      <c r="A124" t="s">
        <v>308</v>
      </c>
      <c r="B124" s="29">
        <v>45959</v>
      </c>
      <c r="C124" t="s">
        <v>74</v>
      </c>
      <c r="D124" t="s">
        <v>128</v>
      </c>
      <c r="E124" t="s">
        <v>88</v>
      </c>
      <c r="F124" s="34" t="s">
        <v>309</v>
      </c>
      <c r="G124" s="30">
        <v>4821</v>
      </c>
      <c r="H124" s="30">
        <v>363</v>
      </c>
      <c r="I124" s="30">
        <v>28</v>
      </c>
      <c r="J124" s="30">
        <v>30</v>
      </c>
      <c r="K124" s="30">
        <v>30</v>
      </c>
      <c r="L124" s="30">
        <f t="shared" si="5"/>
        <v>451</v>
      </c>
      <c r="M124" s="31">
        <f t="shared" si="6"/>
        <v>9.3549056212404072E-2</v>
      </c>
      <c r="N124" s="32">
        <f t="shared" si="7"/>
        <v>0</v>
      </c>
      <c r="O124" t="str">
        <f t="shared" si="8"/>
        <v>Night (21-05)</v>
      </c>
      <c r="P124" t="str">
        <f t="shared" si="9"/>
        <v>Wednesday</v>
      </c>
    </row>
    <row r="125" spans="1:16" ht="26.4" x14ac:dyDescent="0.25">
      <c r="A125" t="s">
        <v>310</v>
      </c>
      <c r="B125" s="29">
        <v>45952.416666666701</v>
      </c>
      <c r="C125" t="s">
        <v>79</v>
      </c>
      <c r="D125" t="s">
        <v>85</v>
      </c>
      <c r="E125" t="s">
        <v>91</v>
      </c>
      <c r="F125" s="34" t="s">
        <v>311</v>
      </c>
      <c r="G125" s="30">
        <v>6505</v>
      </c>
      <c r="H125" s="30">
        <v>308</v>
      </c>
      <c r="I125" s="30">
        <v>17</v>
      </c>
      <c r="J125" s="30">
        <v>41</v>
      </c>
      <c r="K125" s="30">
        <v>63</v>
      </c>
      <c r="L125" s="30">
        <f t="shared" si="5"/>
        <v>429</v>
      </c>
      <c r="M125" s="31">
        <f t="shared" si="6"/>
        <v>6.5949269792467333E-2</v>
      </c>
      <c r="N125" s="32">
        <f t="shared" si="7"/>
        <v>10</v>
      </c>
      <c r="O125" t="str">
        <f t="shared" si="8"/>
        <v>Morning (06-11)</v>
      </c>
      <c r="P125" t="str">
        <f t="shared" si="9"/>
        <v>Wednesday</v>
      </c>
    </row>
    <row r="126" spans="1:16" x14ac:dyDescent="0.25">
      <c r="A126" t="s">
        <v>312</v>
      </c>
      <c r="B126" s="29">
        <v>46006.166666666701</v>
      </c>
      <c r="C126" t="s">
        <v>79</v>
      </c>
      <c r="D126" t="s">
        <v>80</v>
      </c>
      <c r="E126" t="s">
        <v>94</v>
      </c>
      <c r="F126" s="34" t="s">
        <v>313</v>
      </c>
      <c r="G126" s="30">
        <v>38653</v>
      </c>
      <c r="H126" s="30">
        <v>3047</v>
      </c>
      <c r="I126" s="30">
        <v>180</v>
      </c>
      <c r="J126" s="30">
        <v>372</v>
      </c>
      <c r="K126" s="30">
        <v>177</v>
      </c>
      <c r="L126" s="30">
        <f t="shared" si="5"/>
        <v>3776</v>
      </c>
      <c r="M126" s="31">
        <f t="shared" si="6"/>
        <v>9.7689700670064425E-2</v>
      </c>
      <c r="N126" s="32">
        <f t="shared" si="7"/>
        <v>4</v>
      </c>
      <c r="O126" t="str">
        <f t="shared" si="8"/>
        <v>Night (21-05)</v>
      </c>
      <c r="P126" t="str">
        <f t="shared" si="9"/>
        <v>Monday</v>
      </c>
    </row>
    <row r="127" spans="1:16" x14ac:dyDescent="0.25">
      <c r="A127" t="s">
        <v>314</v>
      </c>
      <c r="B127" s="29">
        <v>45790.333333333299</v>
      </c>
      <c r="C127" t="s">
        <v>74</v>
      </c>
      <c r="D127" t="s">
        <v>80</v>
      </c>
      <c r="E127" t="s">
        <v>111</v>
      </c>
      <c r="F127" s="34" t="s">
        <v>315</v>
      </c>
      <c r="G127" s="30">
        <v>19156</v>
      </c>
      <c r="H127" s="30">
        <v>1396</v>
      </c>
      <c r="I127" s="30">
        <v>30</v>
      </c>
      <c r="J127" s="30">
        <v>178</v>
      </c>
      <c r="K127" s="30">
        <v>20</v>
      </c>
      <c r="L127" s="30">
        <f t="shared" si="5"/>
        <v>1624</v>
      </c>
      <c r="M127" s="31">
        <f t="shared" si="6"/>
        <v>8.4777615368552939E-2</v>
      </c>
      <c r="N127" s="32">
        <f t="shared" si="7"/>
        <v>8</v>
      </c>
      <c r="O127" t="str">
        <f t="shared" si="8"/>
        <v>Morning (06-11)</v>
      </c>
      <c r="P127" t="str">
        <f t="shared" si="9"/>
        <v>Tuesday</v>
      </c>
    </row>
    <row r="128" spans="1:16" x14ac:dyDescent="0.25">
      <c r="A128" t="s">
        <v>316</v>
      </c>
      <c r="B128" s="29">
        <v>45877.458333333299</v>
      </c>
      <c r="C128" t="s">
        <v>100</v>
      </c>
      <c r="D128" t="s">
        <v>75</v>
      </c>
      <c r="E128" t="s">
        <v>91</v>
      </c>
      <c r="F128" s="34" t="s">
        <v>213</v>
      </c>
      <c r="G128" s="30">
        <v>6083</v>
      </c>
      <c r="H128" s="30">
        <v>484</v>
      </c>
      <c r="I128" s="30">
        <v>40</v>
      </c>
      <c r="J128" s="30">
        <v>35</v>
      </c>
      <c r="K128" s="30">
        <v>50</v>
      </c>
      <c r="L128" s="30">
        <f t="shared" si="5"/>
        <v>609</v>
      </c>
      <c r="M128" s="31">
        <f t="shared" si="6"/>
        <v>0.1001150747986191</v>
      </c>
      <c r="N128" s="32">
        <f t="shared" si="7"/>
        <v>11</v>
      </c>
      <c r="O128" t="str">
        <f t="shared" si="8"/>
        <v>Morning (06-11)</v>
      </c>
      <c r="P128" t="str">
        <f t="shared" si="9"/>
        <v>Friday</v>
      </c>
    </row>
    <row r="129" spans="1:16" x14ac:dyDescent="0.25">
      <c r="A129" t="s">
        <v>317</v>
      </c>
      <c r="B129" s="29">
        <v>45910.666666666701</v>
      </c>
      <c r="C129" t="s">
        <v>74</v>
      </c>
      <c r="D129" t="s">
        <v>80</v>
      </c>
      <c r="E129" t="s">
        <v>76</v>
      </c>
      <c r="F129" s="34" t="s">
        <v>309</v>
      </c>
      <c r="G129" s="30">
        <v>4634</v>
      </c>
      <c r="H129" s="30">
        <v>398</v>
      </c>
      <c r="I129" s="30">
        <v>9</v>
      </c>
      <c r="J129" s="30">
        <v>49</v>
      </c>
      <c r="K129" s="30">
        <v>32</v>
      </c>
      <c r="L129" s="30">
        <f t="shared" si="5"/>
        <v>488</v>
      </c>
      <c r="M129" s="31">
        <f t="shared" si="6"/>
        <v>0.1053085886922745</v>
      </c>
      <c r="N129" s="32">
        <f t="shared" si="7"/>
        <v>16</v>
      </c>
      <c r="O129" t="str">
        <f t="shared" si="8"/>
        <v>Afternoon (12-16)</v>
      </c>
      <c r="P129" t="str">
        <f t="shared" si="9"/>
        <v>Wednesday</v>
      </c>
    </row>
    <row r="130" spans="1:16" ht="26.4" x14ac:dyDescent="0.25">
      <c r="A130" t="s">
        <v>318</v>
      </c>
      <c r="B130" s="29">
        <v>45982.875</v>
      </c>
      <c r="C130" t="s">
        <v>74</v>
      </c>
      <c r="D130" t="s">
        <v>80</v>
      </c>
      <c r="E130" t="s">
        <v>111</v>
      </c>
      <c r="F130" s="34" t="s">
        <v>319</v>
      </c>
      <c r="G130" s="30">
        <v>29100</v>
      </c>
      <c r="H130" s="30">
        <v>1745</v>
      </c>
      <c r="I130" s="30">
        <v>167</v>
      </c>
      <c r="J130" s="30">
        <v>67</v>
      </c>
      <c r="K130" s="30">
        <v>216</v>
      </c>
      <c r="L130" s="30">
        <f t="shared" ref="L130:L193" si="10">SUM(H130:K130)</f>
        <v>2195</v>
      </c>
      <c r="M130" s="31">
        <f t="shared" ref="M130:M193" si="11">IFERROR(L130/G130,0)</f>
        <v>7.5429553264604807E-2</v>
      </c>
      <c r="N130" s="32">
        <f t="shared" ref="N130:N193" si="12">MOD(ROUND(B130*24,0),24)</f>
        <v>21</v>
      </c>
      <c r="O130" t="str">
        <f t="shared" ref="O130:O193" si="13">IF(AND(N130&gt;=6,N130&lt;12),"Morning (06-11)",IF(AND(N130&gt;=12,N130&lt;17),"Afternoon (12-16)",IF(AND(N130&gt;=17,N130&lt;21),"Evening (17-20)","Night (21-05)")))</f>
        <v>Night (21-05)</v>
      </c>
      <c r="P130" t="str">
        <f t="shared" ref="P130:P193" si="14">TEXT(B130,"dddd")</f>
        <v>Friday</v>
      </c>
    </row>
    <row r="131" spans="1:16" ht="26.4" x14ac:dyDescent="0.25">
      <c r="A131" t="s">
        <v>320</v>
      </c>
      <c r="B131" s="29">
        <v>46052.041666666701</v>
      </c>
      <c r="C131" t="s">
        <v>74</v>
      </c>
      <c r="D131" t="s">
        <v>80</v>
      </c>
      <c r="E131" t="s">
        <v>76</v>
      </c>
      <c r="F131" s="34" t="s">
        <v>321</v>
      </c>
      <c r="G131" s="30">
        <v>12333</v>
      </c>
      <c r="H131" s="30">
        <v>731</v>
      </c>
      <c r="I131" s="30">
        <v>20</v>
      </c>
      <c r="J131" s="30">
        <v>33</v>
      </c>
      <c r="K131" s="30">
        <v>81</v>
      </c>
      <c r="L131" s="30">
        <f t="shared" si="10"/>
        <v>865</v>
      </c>
      <c r="M131" s="31">
        <f t="shared" si="11"/>
        <v>7.0137030730560282E-2</v>
      </c>
      <c r="N131" s="32">
        <f t="shared" si="12"/>
        <v>1</v>
      </c>
      <c r="O131" t="str">
        <f t="shared" si="13"/>
        <v>Night (21-05)</v>
      </c>
      <c r="P131" t="str">
        <f t="shared" si="14"/>
        <v>Friday</v>
      </c>
    </row>
    <row r="132" spans="1:16" x14ac:dyDescent="0.25">
      <c r="A132" t="s">
        <v>322</v>
      </c>
      <c r="B132" s="29">
        <v>46080.791666666701</v>
      </c>
      <c r="C132" t="s">
        <v>79</v>
      </c>
      <c r="D132" t="s">
        <v>128</v>
      </c>
      <c r="E132" t="s">
        <v>115</v>
      </c>
      <c r="F132" s="34" t="s">
        <v>323</v>
      </c>
      <c r="G132" s="30">
        <v>3196</v>
      </c>
      <c r="H132" s="30">
        <v>244</v>
      </c>
      <c r="I132" s="30">
        <v>7</v>
      </c>
      <c r="J132" s="30">
        <v>35</v>
      </c>
      <c r="K132" s="30">
        <v>31</v>
      </c>
      <c r="L132" s="30">
        <f t="shared" si="10"/>
        <v>317</v>
      </c>
      <c r="M132" s="31">
        <f t="shared" si="11"/>
        <v>9.9186483103879855E-2</v>
      </c>
      <c r="N132" s="32">
        <f t="shared" si="12"/>
        <v>19</v>
      </c>
      <c r="O132" t="str">
        <f t="shared" si="13"/>
        <v>Evening (17-20)</v>
      </c>
      <c r="P132" t="str">
        <f t="shared" si="14"/>
        <v>Friday</v>
      </c>
    </row>
    <row r="133" spans="1:16" x14ac:dyDescent="0.25">
      <c r="A133" t="s">
        <v>324</v>
      </c>
      <c r="B133" s="29">
        <v>45966.375</v>
      </c>
      <c r="C133" t="s">
        <v>74</v>
      </c>
      <c r="D133" t="s">
        <v>97</v>
      </c>
      <c r="E133" t="s">
        <v>131</v>
      </c>
      <c r="F133" s="34" t="s">
        <v>122</v>
      </c>
      <c r="G133" s="30">
        <v>4924</v>
      </c>
      <c r="H133" s="30">
        <v>229</v>
      </c>
      <c r="I133" s="30">
        <v>6</v>
      </c>
      <c r="J133" s="30">
        <v>27</v>
      </c>
      <c r="K133" s="30">
        <v>11</v>
      </c>
      <c r="L133" s="30">
        <f t="shared" si="10"/>
        <v>273</v>
      </c>
      <c r="M133" s="31">
        <f t="shared" si="11"/>
        <v>5.544272948822096E-2</v>
      </c>
      <c r="N133" s="32">
        <f t="shared" si="12"/>
        <v>9</v>
      </c>
      <c r="O133" t="str">
        <f t="shared" si="13"/>
        <v>Morning (06-11)</v>
      </c>
      <c r="P133" t="str">
        <f t="shared" si="14"/>
        <v>Wednesday</v>
      </c>
    </row>
    <row r="134" spans="1:16" x14ac:dyDescent="0.25">
      <c r="A134" t="s">
        <v>325</v>
      </c>
      <c r="B134" s="29">
        <v>45898.291666666701</v>
      </c>
      <c r="C134" t="s">
        <v>74</v>
      </c>
      <c r="D134" t="s">
        <v>85</v>
      </c>
      <c r="E134" t="s">
        <v>88</v>
      </c>
      <c r="F134" s="34" t="s">
        <v>326</v>
      </c>
      <c r="G134" s="30">
        <v>4710</v>
      </c>
      <c r="H134" s="30">
        <v>298</v>
      </c>
      <c r="I134" s="30">
        <v>23</v>
      </c>
      <c r="J134" s="30">
        <v>29</v>
      </c>
      <c r="K134" s="30">
        <v>14</v>
      </c>
      <c r="L134" s="30">
        <f t="shared" si="10"/>
        <v>364</v>
      </c>
      <c r="M134" s="31">
        <f t="shared" si="11"/>
        <v>7.7282377919320591E-2</v>
      </c>
      <c r="N134" s="32">
        <f t="shared" si="12"/>
        <v>7</v>
      </c>
      <c r="O134" t="str">
        <f t="shared" si="13"/>
        <v>Morning (06-11)</v>
      </c>
      <c r="P134" t="str">
        <f t="shared" si="14"/>
        <v>Friday</v>
      </c>
    </row>
    <row r="135" spans="1:16" ht="26.4" x14ac:dyDescent="0.25">
      <c r="A135" t="s">
        <v>327</v>
      </c>
      <c r="B135" s="29">
        <v>45953.375</v>
      </c>
      <c r="C135" t="s">
        <v>84</v>
      </c>
      <c r="D135" t="s">
        <v>75</v>
      </c>
      <c r="E135" t="s">
        <v>131</v>
      </c>
      <c r="F135" s="34" t="s">
        <v>118</v>
      </c>
      <c r="G135" s="30">
        <v>11665</v>
      </c>
      <c r="H135" s="30">
        <v>966</v>
      </c>
      <c r="I135" s="30">
        <v>49</v>
      </c>
      <c r="J135" s="30">
        <v>74</v>
      </c>
      <c r="K135" s="30">
        <v>85</v>
      </c>
      <c r="L135" s="30">
        <f t="shared" si="10"/>
        <v>1174</v>
      </c>
      <c r="M135" s="31">
        <f t="shared" si="11"/>
        <v>0.10064294899271324</v>
      </c>
      <c r="N135" s="32">
        <f t="shared" si="12"/>
        <v>9</v>
      </c>
      <c r="O135" t="str">
        <f t="shared" si="13"/>
        <v>Morning (06-11)</v>
      </c>
      <c r="P135" t="str">
        <f t="shared" si="14"/>
        <v>Thursday</v>
      </c>
    </row>
    <row r="136" spans="1:16" x14ac:dyDescent="0.25">
      <c r="A136" t="s">
        <v>328</v>
      </c>
      <c r="B136" s="29">
        <v>45916.125</v>
      </c>
      <c r="C136" t="s">
        <v>74</v>
      </c>
      <c r="D136" t="s">
        <v>80</v>
      </c>
      <c r="E136" t="s">
        <v>131</v>
      </c>
      <c r="F136" s="34" t="s">
        <v>313</v>
      </c>
      <c r="G136" s="30">
        <v>41714</v>
      </c>
      <c r="H136" s="30">
        <v>3661</v>
      </c>
      <c r="I136" s="30">
        <v>293</v>
      </c>
      <c r="J136" s="30">
        <v>230</v>
      </c>
      <c r="K136" s="30">
        <v>238</v>
      </c>
      <c r="L136" s="30">
        <f t="shared" si="10"/>
        <v>4422</v>
      </c>
      <c r="M136" s="31">
        <f t="shared" si="11"/>
        <v>0.10600757539435202</v>
      </c>
      <c r="N136" s="32">
        <f t="shared" si="12"/>
        <v>3</v>
      </c>
      <c r="O136" t="str">
        <f t="shared" si="13"/>
        <v>Night (21-05)</v>
      </c>
      <c r="P136" t="str">
        <f t="shared" si="14"/>
        <v>Tuesday</v>
      </c>
    </row>
    <row r="137" spans="1:16" x14ac:dyDescent="0.25">
      <c r="A137" t="s">
        <v>329</v>
      </c>
      <c r="B137" s="29">
        <v>45992.291666666701</v>
      </c>
      <c r="C137" t="s">
        <v>84</v>
      </c>
      <c r="D137" t="s">
        <v>128</v>
      </c>
      <c r="E137" t="s">
        <v>115</v>
      </c>
      <c r="F137" s="34" t="s">
        <v>330</v>
      </c>
      <c r="G137" s="30">
        <v>8738</v>
      </c>
      <c r="H137" s="30">
        <v>553</v>
      </c>
      <c r="I137" s="30">
        <v>28</v>
      </c>
      <c r="J137" s="30">
        <v>39</v>
      </c>
      <c r="K137" s="30">
        <v>69</v>
      </c>
      <c r="L137" s="30">
        <f t="shared" si="10"/>
        <v>689</v>
      </c>
      <c r="M137" s="31">
        <f t="shared" si="11"/>
        <v>7.8850995651178757E-2</v>
      </c>
      <c r="N137" s="32">
        <f t="shared" si="12"/>
        <v>7</v>
      </c>
      <c r="O137" t="str">
        <f t="shared" si="13"/>
        <v>Morning (06-11)</v>
      </c>
      <c r="P137" t="str">
        <f t="shared" si="14"/>
        <v>Monday</v>
      </c>
    </row>
    <row r="138" spans="1:16" ht="26.4" x14ac:dyDescent="0.25">
      <c r="A138" t="s">
        <v>331</v>
      </c>
      <c r="B138" s="29">
        <v>45956.458333333299</v>
      </c>
      <c r="C138" t="s">
        <v>74</v>
      </c>
      <c r="D138" t="s">
        <v>80</v>
      </c>
      <c r="E138" t="s">
        <v>131</v>
      </c>
      <c r="F138" s="34" t="s">
        <v>332</v>
      </c>
      <c r="G138" s="30">
        <v>33314</v>
      </c>
      <c r="H138" s="30">
        <v>2109</v>
      </c>
      <c r="I138" s="30">
        <v>108</v>
      </c>
      <c r="J138" s="30">
        <v>136</v>
      </c>
      <c r="K138" s="30">
        <v>181</v>
      </c>
      <c r="L138" s="30">
        <f t="shared" si="10"/>
        <v>2534</v>
      </c>
      <c r="M138" s="31">
        <f t="shared" si="11"/>
        <v>7.6064117187969016E-2</v>
      </c>
      <c r="N138" s="32">
        <f t="shared" si="12"/>
        <v>11</v>
      </c>
      <c r="O138" t="str">
        <f t="shared" si="13"/>
        <v>Morning (06-11)</v>
      </c>
      <c r="P138" t="str">
        <f t="shared" si="14"/>
        <v>Sunday</v>
      </c>
    </row>
    <row r="139" spans="1:16" x14ac:dyDescent="0.25">
      <c r="A139" t="s">
        <v>333</v>
      </c>
      <c r="B139" s="29">
        <v>45815.791666666701</v>
      </c>
      <c r="C139" t="s">
        <v>74</v>
      </c>
      <c r="D139" t="s">
        <v>75</v>
      </c>
      <c r="E139" t="s">
        <v>131</v>
      </c>
      <c r="F139" s="34" t="s">
        <v>233</v>
      </c>
      <c r="G139" s="30">
        <v>23115</v>
      </c>
      <c r="H139" s="30">
        <v>1530</v>
      </c>
      <c r="I139" s="30">
        <v>124</v>
      </c>
      <c r="J139" s="30">
        <v>185</v>
      </c>
      <c r="K139" s="30">
        <v>75</v>
      </c>
      <c r="L139" s="30">
        <f t="shared" si="10"/>
        <v>1914</v>
      </c>
      <c r="M139" s="31">
        <f t="shared" si="11"/>
        <v>8.2803374432186896E-2</v>
      </c>
      <c r="N139" s="32">
        <f t="shared" si="12"/>
        <v>19</v>
      </c>
      <c r="O139" t="str">
        <f t="shared" si="13"/>
        <v>Evening (17-20)</v>
      </c>
      <c r="P139" t="str">
        <f t="shared" si="14"/>
        <v>Saturday</v>
      </c>
    </row>
    <row r="140" spans="1:16" x14ac:dyDescent="0.25">
      <c r="A140" t="s">
        <v>334</v>
      </c>
      <c r="B140" s="29">
        <v>45832.833333333299</v>
      </c>
      <c r="C140" t="s">
        <v>74</v>
      </c>
      <c r="D140" t="s">
        <v>128</v>
      </c>
      <c r="E140" t="s">
        <v>88</v>
      </c>
      <c r="F140" s="34" t="s">
        <v>335</v>
      </c>
      <c r="G140" s="30">
        <v>11247</v>
      </c>
      <c r="H140" s="30">
        <v>379</v>
      </c>
      <c r="I140" s="30">
        <v>33</v>
      </c>
      <c r="J140" s="30">
        <v>41</v>
      </c>
      <c r="K140" s="30">
        <v>59</v>
      </c>
      <c r="L140" s="30">
        <f t="shared" si="10"/>
        <v>512</v>
      </c>
      <c r="M140" s="31">
        <f t="shared" si="11"/>
        <v>4.5523250644616341E-2</v>
      </c>
      <c r="N140" s="32">
        <f t="shared" si="12"/>
        <v>20</v>
      </c>
      <c r="O140" t="str">
        <f t="shared" si="13"/>
        <v>Evening (17-20)</v>
      </c>
      <c r="P140" t="str">
        <f t="shared" si="14"/>
        <v>Tuesday</v>
      </c>
    </row>
    <row r="141" spans="1:16" x14ac:dyDescent="0.25">
      <c r="A141" t="s">
        <v>336</v>
      </c>
      <c r="B141" s="29">
        <v>45945.333333333299</v>
      </c>
      <c r="C141" t="s">
        <v>84</v>
      </c>
      <c r="D141" t="s">
        <v>128</v>
      </c>
      <c r="E141" t="s">
        <v>111</v>
      </c>
      <c r="F141" s="34" t="s">
        <v>337</v>
      </c>
      <c r="G141" s="30">
        <v>8718</v>
      </c>
      <c r="H141" s="30">
        <v>417</v>
      </c>
      <c r="I141" s="30">
        <v>40</v>
      </c>
      <c r="J141" s="30">
        <v>38</v>
      </c>
      <c r="K141" s="30">
        <v>39</v>
      </c>
      <c r="L141" s="30">
        <f t="shared" si="10"/>
        <v>534</v>
      </c>
      <c r="M141" s="31">
        <f t="shared" si="11"/>
        <v>6.125258086717137E-2</v>
      </c>
      <c r="N141" s="32">
        <f t="shared" si="12"/>
        <v>8</v>
      </c>
      <c r="O141" t="str">
        <f t="shared" si="13"/>
        <v>Morning (06-11)</v>
      </c>
      <c r="P141" t="str">
        <f t="shared" si="14"/>
        <v>Wednesday</v>
      </c>
    </row>
    <row r="142" spans="1:16" ht="26.4" x14ac:dyDescent="0.25">
      <c r="A142" t="s">
        <v>338</v>
      </c>
      <c r="B142" s="29">
        <v>45858.083333333299</v>
      </c>
      <c r="C142" t="s">
        <v>74</v>
      </c>
      <c r="D142" t="s">
        <v>80</v>
      </c>
      <c r="E142" t="s">
        <v>91</v>
      </c>
      <c r="F142" s="34" t="s">
        <v>339</v>
      </c>
      <c r="G142" s="30">
        <v>14907</v>
      </c>
      <c r="H142" s="30">
        <v>1145</v>
      </c>
      <c r="I142" s="30">
        <v>65</v>
      </c>
      <c r="J142" s="30">
        <v>68</v>
      </c>
      <c r="K142" s="30">
        <v>106</v>
      </c>
      <c r="L142" s="30">
        <f t="shared" si="10"/>
        <v>1384</v>
      </c>
      <c r="M142" s="31">
        <f t="shared" si="11"/>
        <v>9.284228885758368E-2</v>
      </c>
      <c r="N142" s="32">
        <f t="shared" si="12"/>
        <v>2</v>
      </c>
      <c r="O142" t="str">
        <f t="shared" si="13"/>
        <v>Night (21-05)</v>
      </c>
      <c r="P142" t="str">
        <f t="shared" si="14"/>
        <v>Sunday</v>
      </c>
    </row>
    <row r="143" spans="1:16" x14ac:dyDescent="0.25">
      <c r="A143" t="s">
        <v>340</v>
      </c>
      <c r="B143" s="29">
        <v>45876.083333333299</v>
      </c>
      <c r="C143" t="s">
        <v>74</v>
      </c>
      <c r="D143" t="s">
        <v>75</v>
      </c>
      <c r="E143" t="s">
        <v>76</v>
      </c>
      <c r="F143" s="34" t="s">
        <v>341</v>
      </c>
      <c r="G143" s="30">
        <v>15057</v>
      </c>
      <c r="H143" s="30">
        <v>1179</v>
      </c>
      <c r="I143" s="30">
        <v>52</v>
      </c>
      <c r="J143" s="30">
        <v>47</v>
      </c>
      <c r="K143" s="30">
        <v>39</v>
      </c>
      <c r="L143" s="30">
        <f t="shared" si="10"/>
        <v>1317</v>
      </c>
      <c r="M143" s="31">
        <f t="shared" si="11"/>
        <v>8.7467623032476585E-2</v>
      </c>
      <c r="N143" s="32">
        <f t="shared" si="12"/>
        <v>2</v>
      </c>
      <c r="O143" t="str">
        <f t="shared" si="13"/>
        <v>Night (21-05)</v>
      </c>
      <c r="P143" t="str">
        <f t="shared" si="14"/>
        <v>Thursday</v>
      </c>
    </row>
    <row r="144" spans="1:16" x14ac:dyDescent="0.25">
      <c r="A144" t="s">
        <v>342</v>
      </c>
      <c r="B144" s="29">
        <v>46034.125</v>
      </c>
      <c r="C144" t="s">
        <v>74</v>
      </c>
      <c r="D144" t="s">
        <v>80</v>
      </c>
      <c r="E144" t="s">
        <v>131</v>
      </c>
      <c r="F144" s="34" t="s">
        <v>343</v>
      </c>
      <c r="G144" s="30">
        <v>25976</v>
      </c>
      <c r="H144" s="30">
        <v>879</v>
      </c>
      <c r="I144" s="30">
        <v>39</v>
      </c>
      <c r="J144" s="30">
        <v>63</v>
      </c>
      <c r="K144" s="30">
        <v>67</v>
      </c>
      <c r="L144" s="30">
        <f t="shared" si="10"/>
        <v>1048</v>
      </c>
      <c r="M144" s="31">
        <f t="shared" si="11"/>
        <v>4.0344933785032337E-2</v>
      </c>
      <c r="N144" s="32">
        <f t="shared" si="12"/>
        <v>3</v>
      </c>
      <c r="O144" t="str">
        <f t="shared" si="13"/>
        <v>Night (21-05)</v>
      </c>
      <c r="P144" t="str">
        <f t="shared" si="14"/>
        <v>Monday</v>
      </c>
    </row>
    <row r="145" spans="1:16" ht="26.4" x14ac:dyDescent="0.25">
      <c r="A145" t="s">
        <v>344</v>
      </c>
      <c r="B145" s="29">
        <v>45938</v>
      </c>
      <c r="C145" t="s">
        <v>74</v>
      </c>
      <c r="D145" t="s">
        <v>85</v>
      </c>
      <c r="E145" t="s">
        <v>88</v>
      </c>
      <c r="F145" s="34" t="s">
        <v>345</v>
      </c>
      <c r="G145" s="30">
        <v>8321</v>
      </c>
      <c r="H145" s="30">
        <v>587</v>
      </c>
      <c r="I145" s="30">
        <v>57</v>
      </c>
      <c r="J145" s="30">
        <v>82</v>
      </c>
      <c r="K145" s="30">
        <v>20</v>
      </c>
      <c r="L145" s="30">
        <f t="shared" si="10"/>
        <v>746</v>
      </c>
      <c r="M145" s="31">
        <f t="shared" si="11"/>
        <v>8.9652685975243354E-2</v>
      </c>
      <c r="N145" s="32">
        <f t="shared" si="12"/>
        <v>0</v>
      </c>
      <c r="O145" t="str">
        <f t="shared" si="13"/>
        <v>Night (21-05)</v>
      </c>
      <c r="P145" t="str">
        <f t="shared" si="14"/>
        <v>Wednesday</v>
      </c>
    </row>
    <row r="146" spans="1:16" x14ac:dyDescent="0.25">
      <c r="A146" t="s">
        <v>346</v>
      </c>
      <c r="B146" s="29">
        <v>46008.125</v>
      </c>
      <c r="C146" t="s">
        <v>84</v>
      </c>
      <c r="D146" t="s">
        <v>80</v>
      </c>
      <c r="E146" t="s">
        <v>131</v>
      </c>
      <c r="F146" s="34" t="s">
        <v>315</v>
      </c>
      <c r="G146" s="30">
        <v>22958</v>
      </c>
      <c r="H146" s="30">
        <v>1882</v>
      </c>
      <c r="I146" s="30">
        <v>69</v>
      </c>
      <c r="J146" s="30">
        <v>244</v>
      </c>
      <c r="K146" s="30">
        <v>67</v>
      </c>
      <c r="L146" s="30">
        <f t="shared" si="10"/>
        <v>2262</v>
      </c>
      <c r="M146" s="31">
        <f t="shared" si="11"/>
        <v>9.8527746319365797E-2</v>
      </c>
      <c r="N146" s="32">
        <f t="shared" si="12"/>
        <v>3</v>
      </c>
      <c r="O146" t="str">
        <f t="shared" si="13"/>
        <v>Night (21-05)</v>
      </c>
      <c r="P146" t="str">
        <f t="shared" si="14"/>
        <v>Wednesday</v>
      </c>
    </row>
    <row r="147" spans="1:16" x14ac:dyDescent="0.25">
      <c r="A147" t="s">
        <v>347</v>
      </c>
      <c r="B147" s="29">
        <v>45873.791666666701</v>
      </c>
      <c r="C147" t="s">
        <v>74</v>
      </c>
      <c r="D147" t="s">
        <v>85</v>
      </c>
      <c r="E147" t="s">
        <v>94</v>
      </c>
      <c r="F147" s="34" t="s">
        <v>150</v>
      </c>
      <c r="G147" s="30">
        <v>9330</v>
      </c>
      <c r="H147" s="30">
        <v>682</v>
      </c>
      <c r="I147" s="30">
        <v>33</v>
      </c>
      <c r="J147" s="30">
        <v>52</v>
      </c>
      <c r="K147" s="30">
        <v>61</v>
      </c>
      <c r="L147" s="30">
        <f t="shared" si="10"/>
        <v>828</v>
      </c>
      <c r="M147" s="31">
        <f t="shared" si="11"/>
        <v>8.8745980707395491E-2</v>
      </c>
      <c r="N147" s="32">
        <f t="shared" si="12"/>
        <v>19</v>
      </c>
      <c r="O147" t="str">
        <f t="shared" si="13"/>
        <v>Evening (17-20)</v>
      </c>
      <c r="P147" t="str">
        <f t="shared" si="14"/>
        <v>Monday</v>
      </c>
    </row>
    <row r="148" spans="1:16" x14ac:dyDescent="0.25">
      <c r="A148" t="s">
        <v>348</v>
      </c>
      <c r="B148" s="29">
        <v>46045.125</v>
      </c>
      <c r="C148" t="s">
        <v>79</v>
      </c>
      <c r="D148" t="s">
        <v>85</v>
      </c>
      <c r="E148" t="s">
        <v>88</v>
      </c>
      <c r="F148" s="34" t="s">
        <v>349</v>
      </c>
      <c r="G148" s="30">
        <v>5581</v>
      </c>
      <c r="H148" s="30">
        <v>197</v>
      </c>
      <c r="I148" s="30">
        <v>8</v>
      </c>
      <c r="J148" s="30">
        <v>7</v>
      </c>
      <c r="K148" s="30">
        <v>35</v>
      </c>
      <c r="L148" s="30">
        <f t="shared" si="10"/>
        <v>247</v>
      </c>
      <c r="M148" s="31">
        <f t="shared" si="11"/>
        <v>4.4257301558860422E-2</v>
      </c>
      <c r="N148" s="32">
        <f t="shared" si="12"/>
        <v>3</v>
      </c>
      <c r="O148" t="str">
        <f t="shared" si="13"/>
        <v>Night (21-05)</v>
      </c>
      <c r="P148" t="str">
        <f t="shared" si="14"/>
        <v>Friday</v>
      </c>
    </row>
    <row r="149" spans="1:16" x14ac:dyDescent="0.25">
      <c r="A149" t="s">
        <v>350</v>
      </c>
      <c r="B149" s="29">
        <v>45884.958333333299</v>
      </c>
      <c r="C149" t="s">
        <v>74</v>
      </c>
      <c r="D149" t="s">
        <v>75</v>
      </c>
      <c r="E149" t="s">
        <v>115</v>
      </c>
      <c r="F149" s="34" t="s">
        <v>305</v>
      </c>
      <c r="G149" s="30">
        <v>30846</v>
      </c>
      <c r="H149" s="30">
        <v>2545</v>
      </c>
      <c r="I149" s="30">
        <v>84</v>
      </c>
      <c r="J149" s="30">
        <v>332</v>
      </c>
      <c r="K149" s="30">
        <v>86</v>
      </c>
      <c r="L149" s="30">
        <f t="shared" si="10"/>
        <v>3047</v>
      </c>
      <c r="M149" s="31">
        <f t="shared" si="11"/>
        <v>9.878104130195163E-2</v>
      </c>
      <c r="N149" s="32">
        <f t="shared" si="12"/>
        <v>23</v>
      </c>
      <c r="O149" t="str">
        <f t="shared" si="13"/>
        <v>Night (21-05)</v>
      </c>
      <c r="P149" t="str">
        <f t="shared" si="14"/>
        <v>Friday</v>
      </c>
    </row>
    <row r="150" spans="1:16" x14ac:dyDescent="0.25">
      <c r="A150" t="s">
        <v>351</v>
      </c>
      <c r="B150" s="29">
        <v>45932.833333333299</v>
      </c>
      <c r="C150" t="s">
        <v>74</v>
      </c>
      <c r="D150" t="s">
        <v>80</v>
      </c>
      <c r="E150" t="s">
        <v>91</v>
      </c>
      <c r="F150" s="34" t="s">
        <v>352</v>
      </c>
      <c r="G150" s="30">
        <v>25213</v>
      </c>
      <c r="H150" s="30">
        <v>1185</v>
      </c>
      <c r="I150" s="30">
        <v>32</v>
      </c>
      <c r="J150" s="30">
        <v>31</v>
      </c>
      <c r="K150" s="30">
        <v>184</v>
      </c>
      <c r="L150" s="30">
        <f t="shared" si="10"/>
        <v>1432</v>
      </c>
      <c r="M150" s="31">
        <f t="shared" si="11"/>
        <v>5.6796097251417918E-2</v>
      </c>
      <c r="N150" s="32">
        <f t="shared" si="12"/>
        <v>20</v>
      </c>
      <c r="O150" t="str">
        <f t="shared" si="13"/>
        <v>Evening (17-20)</v>
      </c>
      <c r="P150" t="str">
        <f t="shared" si="14"/>
        <v>Thursday</v>
      </c>
    </row>
    <row r="151" spans="1:16" ht="26.4" x14ac:dyDescent="0.25">
      <c r="A151" t="s">
        <v>353</v>
      </c>
      <c r="B151" s="29">
        <v>45926.916666666701</v>
      </c>
      <c r="C151" t="s">
        <v>79</v>
      </c>
      <c r="D151" t="s">
        <v>80</v>
      </c>
      <c r="E151" t="s">
        <v>115</v>
      </c>
      <c r="F151" s="34" t="s">
        <v>354</v>
      </c>
      <c r="G151" s="30">
        <v>9037</v>
      </c>
      <c r="H151" s="30">
        <v>305</v>
      </c>
      <c r="I151" s="30">
        <v>19</v>
      </c>
      <c r="J151" s="30">
        <v>20</v>
      </c>
      <c r="K151" s="30">
        <v>42</v>
      </c>
      <c r="L151" s="30">
        <f t="shared" si="10"/>
        <v>386</v>
      </c>
      <c r="M151" s="31">
        <f t="shared" si="11"/>
        <v>4.2713289808564786E-2</v>
      </c>
      <c r="N151" s="32">
        <f t="shared" si="12"/>
        <v>22</v>
      </c>
      <c r="O151" t="str">
        <f t="shared" si="13"/>
        <v>Night (21-05)</v>
      </c>
      <c r="P151" t="str">
        <f t="shared" si="14"/>
        <v>Friday</v>
      </c>
    </row>
    <row r="152" spans="1:16" ht="26.4" x14ac:dyDescent="0.25">
      <c r="A152" t="s">
        <v>355</v>
      </c>
      <c r="B152" s="29">
        <v>45970.416666666701</v>
      </c>
      <c r="C152" t="s">
        <v>74</v>
      </c>
      <c r="D152" t="s">
        <v>80</v>
      </c>
      <c r="E152" t="s">
        <v>111</v>
      </c>
      <c r="F152" s="34" t="s">
        <v>356</v>
      </c>
      <c r="G152" s="30">
        <v>10373</v>
      </c>
      <c r="H152" s="30">
        <v>732</v>
      </c>
      <c r="I152" s="30">
        <v>34</v>
      </c>
      <c r="J152" s="30">
        <v>106</v>
      </c>
      <c r="K152" s="30">
        <v>20</v>
      </c>
      <c r="L152" s="30">
        <f t="shared" si="10"/>
        <v>892</v>
      </c>
      <c r="M152" s="31">
        <f t="shared" si="11"/>
        <v>8.5992480478164462E-2</v>
      </c>
      <c r="N152" s="32">
        <f t="shared" si="12"/>
        <v>10</v>
      </c>
      <c r="O152" t="str">
        <f t="shared" si="13"/>
        <v>Morning (06-11)</v>
      </c>
      <c r="P152" t="str">
        <f t="shared" si="14"/>
        <v>Sunday</v>
      </c>
    </row>
    <row r="153" spans="1:16" ht="26.4" x14ac:dyDescent="0.25">
      <c r="A153" t="s">
        <v>357</v>
      </c>
      <c r="B153" s="29">
        <v>45907.708333333299</v>
      </c>
      <c r="C153" t="s">
        <v>74</v>
      </c>
      <c r="D153" t="s">
        <v>75</v>
      </c>
      <c r="E153" t="s">
        <v>115</v>
      </c>
      <c r="F153" s="34" t="s">
        <v>219</v>
      </c>
      <c r="G153" s="30">
        <v>9851</v>
      </c>
      <c r="H153" s="30">
        <v>777</v>
      </c>
      <c r="I153" s="30">
        <v>18</v>
      </c>
      <c r="J153" s="30">
        <v>98</v>
      </c>
      <c r="K153" s="30">
        <v>28</v>
      </c>
      <c r="L153" s="30">
        <f t="shared" si="10"/>
        <v>921</v>
      </c>
      <c r="M153" s="31">
        <f t="shared" si="11"/>
        <v>9.3493046391229323E-2</v>
      </c>
      <c r="N153" s="32">
        <f t="shared" si="12"/>
        <v>17</v>
      </c>
      <c r="O153" t="str">
        <f t="shared" si="13"/>
        <v>Evening (17-20)</v>
      </c>
      <c r="P153" t="str">
        <f t="shared" si="14"/>
        <v>Sunday</v>
      </c>
    </row>
    <row r="154" spans="1:16" ht="26.4" x14ac:dyDescent="0.25">
      <c r="A154" t="s">
        <v>358</v>
      </c>
      <c r="B154" s="29">
        <v>45872.875</v>
      </c>
      <c r="C154" t="s">
        <v>79</v>
      </c>
      <c r="D154" t="s">
        <v>97</v>
      </c>
      <c r="E154" t="s">
        <v>88</v>
      </c>
      <c r="F154" s="34" t="s">
        <v>359</v>
      </c>
      <c r="G154" s="30">
        <v>5352</v>
      </c>
      <c r="H154" s="30">
        <v>223</v>
      </c>
      <c r="I154" s="30">
        <v>16</v>
      </c>
      <c r="J154" s="30">
        <v>13</v>
      </c>
      <c r="K154" s="30">
        <v>20</v>
      </c>
      <c r="L154" s="30">
        <f t="shared" si="10"/>
        <v>272</v>
      </c>
      <c r="M154" s="31">
        <f t="shared" si="11"/>
        <v>5.0822122571001493E-2</v>
      </c>
      <c r="N154" s="32">
        <f t="shared" si="12"/>
        <v>21</v>
      </c>
      <c r="O154" t="str">
        <f t="shared" si="13"/>
        <v>Night (21-05)</v>
      </c>
      <c r="P154" t="str">
        <f t="shared" si="14"/>
        <v>Sunday</v>
      </c>
    </row>
    <row r="155" spans="1:16" x14ac:dyDescent="0.25">
      <c r="A155" t="s">
        <v>360</v>
      </c>
      <c r="B155" s="29">
        <v>45813.208333333299</v>
      </c>
      <c r="C155" t="s">
        <v>84</v>
      </c>
      <c r="D155" t="s">
        <v>85</v>
      </c>
      <c r="E155" t="s">
        <v>131</v>
      </c>
      <c r="F155" s="34" t="s">
        <v>361</v>
      </c>
      <c r="G155" s="30">
        <v>19017</v>
      </c>
      <c r="H155" s="30">
        <v>711</v>
      </c>
      <c r="I155" s="30">
        <v>52</v>
      </c>
      <c r="J155" s="30">
        <v>24</v>
      </c>
      <c r="K155" s="30">
        <v>137</v>
      </c>
      <c r="L155" s="30">
        <f t="shared" si="10"/>
        <v>924</v>
      </c>
      <c r="M155" s="31">
        <f t="shared" si="11"/>
        <v>4.8588105379397381E-2</v>
      </c>
      <c r="N155" s="32">
        <f t="shared" si="12"/>
        <v>5</v>
      </c>
      <c r="O155" t="str">
        <f t="shared" si="13"/>
        <v>Night (21-05)</v>
      </c>
      <c r="P155" t="str">
        <f t="shared" si="14"/>
        <v>Thursday</v>
      </c>
    </row>
    <row r="156" spans="1:16" ht="26.4" x14ac:dyDescent="0.25">
      <c r="A156" t="s">
        <v>362</v>
      </c>
      <c r="B156" s="29">
        <v>45794.083333333299</v>
      </c>
      <c r="C156" t="s">
        <v>84</v>
      </c>
      <c r="D156" t="s">
        <v>85</v>
      </c>
      <c r="E156" t="s">
        <v>131</v>
      </c>
      <c r="F156" s="34" t="s">
        <v>286</v>
      </c>
      <c r="G156" s="30">
        <v>15281</v>
      </c>
      <c r="H156" s="30">
        <v>581</v>
      </c>
      <c r="I156" s="30">
        <v>55</v>
      </c>
      <c r="J156" s="30">
        <v>55</v>
      </c>
      <c r="K156" s="30">
        <v>22</v>
      </c>
      <c r="L156" s="30">
        <f t="shared" si="10"/>
        <v>713</v>
      </c>
      <c r="M156" s="31">
        <f t="shared" si="11"/>
        <v>4.6659250049080558E-2</v>
      </c>
      <c r="N156" s="32">
        <f t="shared" si="12"/>
        <v>2</v>
      </c>
      <c r="O156" t="str">
        <f t="shared" si="13"/>
        <v>Night (21-05)</v>
      </c>
      <c r="P156" t="str">
        <f t="shared" si="14"/>
        <v>Saturday</v>
      </c>
    </row>
    <row r="157" spans="1:16" ht="26.4" x14ac:dyDescent="0.25">
      <c r="A157" t="s">
        <v>363</v>
      </c>
      <c r="B157" s="29">
        <v>46042.583333333299</v>
      </c>
      <c r="C157" t="s">
        <v>74</v>
      </c>
      <c r="D157" t="s">
        <v>80</v>
      </c>
      <c r="E157" t="s">
        <v>115</v>
      </c>
      <c r="F157" s="34" t="s">
        <v>146</v>
      </c>
      <c r="G157" s="30">
        <v>19519</v>
      </c>
      <c r="H157" s="30">
        <v>1138</v>
      </c>
      <c r="I157" s="30">
        <v>92</v>
      </c>
      <c r="J157" s="30">
        <v>81</v>
      </c>
      <c r="K157" s="30">
        <v>35</v>
      </c>
      <c r="L157" s="30">
        <f t="shared" si="10"/>
        <v>1346</v>
      </c>
      <c r="M157" s="31">
        <f t="shared" si="11"/>
        <v>6.8958450740304322E-2</v>
      </c>
      <c r="N157" s="32">
        <f t="shared" si="12"/>
        <v>14</v>
      </c>
      <c r="O157" t="str">
        <f t="shared" si="13"/>
        <v>Afternoon (12-16)</v>
      </c>
      <c r="P157" t="str">
        <f t="shared" si="14"/>
        <v>Tuesday</v>
      </c>
    </row>
    <row r="158" spans="1:16" x14ac:dyDescent="0.25">
      <c r="A158" t="s">
        <v>364</v>
      </c>
      <c r="B158" s="29">
        <v>45842.583333333299</v>
      </c>
      <c r="C158" t="s">
        <v>84</v>
      </c>
      <c r="D158" t="s">
        <v>75</v>
      </c>
      <c r="E158" t="s">
        <v>81</v>
      </c>
      <c r="F158" s="34" t="s">
        <v>249</v>
      </c>
      <c r="G158" s="30">
        <v>9315</v>
      </c>
      <c r="H158" s="30">
        <v>783</v>
      </c>
      <c r="I158" s="30">
        <v>75</v>
      </c>
      <c r="J158" s="30">
        <v>83</v>
      </c>
      <c r="K158" s="30">
        <v>28</v>
      </c>
      <c r="L158" s="30">
        <f t="shared" si="10"/>
        <v>969</v>
      </c>
      <c r="M158" s="31">
        <f t="shared" si="11"/>
        <v>0.10402576489533011</v>
      </c>
      <c r="N158" s="32">
        <f t="shared" si="12"/>
        <v>14</v>
      </c>
      <c r="O158" t="str">
        <f t="shared" si="13"/>
        <v>Afternoon (12-16)</v>
      </c>
      <c r="P158" t="str">
        <f t="shared" si="14"/>
        <v>Friday</v>
      </c>
    </row>
    <row r="159" spans="1:16" x14ac:dyDescent="0.25">
      <c r="A159" t="s">
        <v>365</v>
      </c>
      <c r="B159" s="29">
        <v>45772.958333333299</v>
      </c>
      <c r="C159" t="s">
        <v>84</v>
      </c>
      <c r="D159" t="s">
        <v>85</v>
      </c>
      <c r="E159" t="s">
        <v>81</v>
      </c>
      <c r="F159" s="34" t="s">
        <v>366</v>
      </c>
      <c r="G159" s="30">
        <v>6935</v>
      </c>
      <c r="H159" s="30">
        <v>373</v>
      </c>
      <c r="I159" s="30">
        <v>32</v>
      </c>
      <c r="J159" s="30">
        <v>8</v>
      </c>
      <c r="K159" s="30">
        <v>52</v>
      </c>
      <c r="L159" s="30">
        <f t="shared" si="10"/>
        <v>465</v>
      </c>
      <c r="M159" s="31">
        <f t="shared" si="11"/>
        <v>6.7051189617880314E-2</v>
      </c>
      <c r="N159" s="32">
        <f t="shared" si="12"/>
        <v>23</v>
      </c>
      <c r="O159" t="str">
        <f t="shared" si="13"/>
        <v>Night (21-05)</v>
      </c>
      <c r="P159" t="str">
        <f t="shared" si="14"/>
        <v>Friday</v>
      </c>
    </row>
    <row r="160" spans="1:16" ht="26.4" x14ac:dyDescent="0.25">
      <c r="A160" t="s">
        <v>367</v>
      </c>
      <c r="B160" s="29">
        <v>46085.708333333299</v>
      </c>
      <c r="C160" t="s">
        <v>74</v>
      </c>
      <c r="D160" t="s">
        <v>75</v>
      </c>
      <c r="E160" t="s">
        <v>131</v>
      </c>
      <c r="F160" s="34" t="s">
        <v>277</v>
      </c>
      <c r="G160" s="30">
        <v>31041</v>
      </c>
      <c r="H160" s="30">
        <v>2511</v>
      </c>
      <c r="I160" s="30">
        <v>185</v>
      </c>
      <c r="J160" s="30">
        <v>357</v>
      </c>
      <c r="K160" s="30">
        <v>298</v>
      </c>
      <c r="L160" s="30">
        <f t="shared" si="10"/>
        <v>3351</v>
      </c>
      <c r="M160" s="31">
        <f t="shared" si="11"/>
        <v>0.10795399632743791</v>
      </c>
      <c r="N160" s="32">
        <f t="shared" si="12"/>
        <v>17</v>
      </c>
      <c r="O160" t="str">
        <f t="shared" si="13"/>
        <v>Evening (17-20)</v>
      </c>
      <c r="P160" t="str">
        <f t="shared" si="14"/>
        <v>Wednesday</v>
      </c>
    </row>
    <row r="161" spans="1:16" x14ac:dyDescent="0.25">
      <c r="A161" t="s">
        <v>368</v>
      </c>
      <c r="B161" s="29">
        <v>45991.458333333299</v>
      </c>
      <c r="C161" t="s">
        <v>100</v>
      </c>
      <c r="D161" t="s">
        <v>128</v>
      </c>
      <c r="E161" t="s">
        <v>115</v>
      </c>
      <c r="F161" s="34" t="s">
        <v>225</v>
      </c>
      <c r="G161" s="30">
        <v>9210</v>
      </c>
      <c r="H161" s="30">
        <v>677</v>
      </c>
      <c r="I161" s="30">
        <v>36</v>
      </c>
      <c r="J161" s="30">
        <v>92</v>
      </c>
      <c r="K161" s="30">
        <v>22</v>
      </c>
      <c r="L161" s="30">
        <f t="shared" si="10"/>
        <v>827</v>
      </c>
      <c r="M161" s="31">
        <f t="shared" si="11"/>
        <v>8.9793702497285563E-2</v>
      </c>
      <c r="N161" s="32">
        <f t="shared" si="12"/>
        <v>11</v>
      </c>
      <c r="O161" t="str">
        <f t="shared" si="13"/>
        <v>Morning (06-11)</v>
      </c>
      <c r="P161" t="str">
        <f t="shared" si="14"/>
        <v>Sunday</v>
      </c>
    </row>
    <row r="162" spans="1:16" x14ac:dyDescent="0.25">
      <c r="A162" t="s">
        <v>369</v>
      </c>
      <c r="B162" s="29">
        <v>46008.125</v>
      </c>
      <c r="C162" t="s">
        <v>79</v>
      </c>
      <c r="D162" t="s">
        <v>85</v>
      </c>
      <c r="E162" t="s">
        <v>91</v>
      </c>
      <c r="F162" s="34" t="s">
        <v>197</v>
      </c>
      <c r="G162" s="30">
        <v>4308</v>
      </c>
      <c r="H162" s="30">
        <v>161</v>
      </c>
      <c r="I162" s="30">
        <v>3</v>
      </c>
      <c r="J162" s="30">
        <v>2</v>
      </c>
      <c r="K162" s="30">
        <v>36</v>
      </c>
      <c r="L162" s="30">
        <f t="shared" si="10"/>
        <v>202</v>
      </c>
      <c r="M162" s="31">
        <f t="shared" si="11"/>
        <v>4.688950789229341E-2</v>
      </c>
      <c r="N162" s="32">
        <f t="shared" si="12"/>
        <v>3</v>
      </c>
      <c r="O162" t="str">
        <f t="shared" si="13"/>
        <v>Night (21-05)</v>
      </c>
      <c r="P162" t="str">
        <f t="shared" si="14"/>
        <v>Wednesday</v>
      </c>
    </row>
    <row r="163" spans="1:16" x14ac:dyDescent="0.25">
      <c r="A163" t="s">
        <v>370</v>
      </c>
      <c r="B163" s="29">
        <v>45993.708333333299</v>
      </c>
      <c r="C163" t="s">
        <v>100</v>
      </c>
      <c r="D163" t="s">
        <v>85</v>
      </c>
      <c r="E163" t="s">
        <v>88</v>
      </c>
      <c r="F163" s="34" t="s">
        <v>371</v>
      </c>
      <c r="G163" s="30">
        <v>4599</v>
      </c>
      <c r="H163" s="30">
        <v>266</v>
      </c>
      <c r="I163" s="30">
        <v>11</v>
      </c>
      <c r="J163" s="30">
        <v>31</v>
      </c>
      <c r="K163" s="30">
        <v>15</v>
      </c>
      <c r="L163" s="30">
        <f t="shared" si="10"/>
        <v>323</v>
      </c>
      <c r="M163" s="31">
        <f t="shared" si="11"/>
        <v>7.023265927375516E-2</v>
      </c>
      <c r="N163" s="32">
        <f t="shared" si="12"/>
        <v>17</v>
      </c>
      <c r="O163" t="str">
        <f t="shared" si="13"/>
        <v>Evening (17-20)</v>
      </c>
      <c r="P163" t="str">
        <f t="shared" si="14"/>
        <v>Tuesday</v>
      </c>
    </row>
    <row r="164" spans="1:16" x14ac:dyDescent="0.25">
      <c r="A164" t="s">
        <v>372</v>
      </c>
      <c r="B164" s="29">
        <v>46030.458333333299</v>
      </c>
      <c r="C164" t="s">
        <v>84</v>
      </c>
      <c r="D164" t="s">
        <v>85</v>
      </c>
      <c r="E164" t="s">
        <v>81</v>
      </c>
      <c r="F164" s="34" t="s">
        <v>373</v>
      </c>
      <c r="G164" s="30">
        <v>7148</v>
      </c>
      <c r="H164" s="30">
        <v>386</v>
      </c>
      <c r="I164" s="30">
        <v>12</v>
      </c>
      <c r="J164" s="30">
        <v>20</v>
      </c>
      <c r="K164" s="30">
        <v>7</v>
      </c>
      <c r="L164" s="30">
        <f t="shared" si="10"/>
        <v>425</v>
      </c>
      <c r="M164" s="31">
        <f t="shared" si="11"/>
        <v>5.9457190822607725E-2</v>
      </c>
      <c r="N164" s="32">
        <f t="shared" si="12"/>
        <v>11</v>
      </c>
      <c r="O164" t="str">
        <f t="shared" si="13"/>
        <v>Morning (06-11)</v>
      </c>
      <c r="P164" t="str">
        <f t="shared" si="14"/>
        <v>Thursday</v>
      </c>
    </row>
    <row r="165" spans="1:16" x14ac:dyDescent="0.25">
      <c r="A165" t="s">
        <v>374</v>
      </c>
      <c r="B165" s="29">
        <v>45942.375</v>
      </c>
      <c r="C165" t="s">
        <v>74</v>
      </c>
      <c r="D165" t="s">
        <v>128</v>
      </c>
      <c r="E165" t="s">
        <v>76</v>
      </c>
      <c r="F165" s="34" t="s">
        <v>122</v>
      </c>
      <c r="G165" s="30">
        <v>8269</v>
      </c>
      <c r="H165" s="30">
        <v>648</v>
      </c>
      <c r="I165" s="30">
        <v>16</v>
      </c>
      <c r="J165" s="30">
        <v>56</v>
      </c>
      <c r="K165" s="30">
        <v>56</v>
      </c>
      <c r="L165" s="30">
        <f t="shared" si="10"/>
        <v>776</v>
      </c>
      <c r="M165" s="31">
        <f t="shared" si="11"/>
        <v>9.3844479380819926E-2</v>
      </c>
      <c r="N165" s="32">
        <f t="shared" si="12"/>
        <v>9</v>
      </c>
      <c r="O165" t="str">
        <f t="shared" si="13"/>
        <v>Morning (06-11)</v>
      </c>
      <c r="P165" t="str">
        <f t="shared" si="14"/>
        <v>Sunday</v>
      </c>
    </row>
    <row r="166" spans="1:16" x14ac:dyDescent="0.25">
      <c r="A166" t="s">
        <v>375</v>
      </c>
      <c r="B166" s="29">
        <v>45880</v>
      </c>
      <c r="C166" t="s">
        <v>74</v>
      </c>
      <c r="D166" t="s">
        <v>75</v>
      </c>
      <c r="E166" t="s">
        <v>115</v>
      </c>
      <c r="F166" s="34" t="s">
        <v>201</v>
      </c>
      <c r="G166" s="30">
        <v>7886</v>
      </c>
      <c r="H166" s="30">
        <v>478</v>
      </c>
      <c r="I166" s="30">
        <v>21</v>
      </c>
      <c r="J166" s="30">
        <v>20</v>
      </c>
      <c r="K166" s="30">
        <v>58</v>
      </c>
      <c r="L166" s="30">
        <f t="shared" si="10"/>
        <v>577</v>
      </c>
      <c r="M166" s="31">
        <f t="shared" si="11"/>
        <v>7.3167638853664715E-2</v>
      </c>
      <c r="N166" s="32">
        <f t="shared" si="12"/>
        <v>0</v>
      </c>
      <c r="O166" t="str">
        <f t="shared" si="13"/>
        <v>Night (21-05)</v>
      </c>
      <c r="P166" t="str">
        <f t="shared" si="14"/>
        <v>Monday</v>
      </c>
    </row>
    <row r="167" spans="1:16" x14ac:dyDescent="0.25">
      <c r="A167" t="s">
        <v>376</v>
      </c>
      <c r="B167" s="29">
        <v>45916.375</v>
      </c>
      <c r="C167" t="s">
        <v>74</v>
      </c>
      <c r="D167" t="s">
        <v>97</v>
      </c>
      <c r="E167" t="s">
        <v>94</v>
      </c>
      <c r="F167" s="34" t="s">
        <v>377</v>
      </c>
      <c r="G167" s="30">
        <v>4913</v>
      </c>
      <c r="H167" s="30">
        <v>349</v>
      </c>
      <c r="I167" s="30">
        <v>26</v>
      </c>
      <c r="J167" s="30">
        <v>41</v>
      </c>
      <c r="K167" s="30">
        <v>5</v>
      </c>
      <c r="L167" s="30">
        <f t="shared" si="10"/>
        <v>421</v>
      </c>
      <c r="M167" s="31">
        <f t="shared" si="11"/>
        <v>8.5691023814370035E-2</v>
      </c>
      <c r="N167" s="32">
        <f t="shared" si="12"/>
        <v>9</v>
      </c>
      <c r="O167" t="str">
        <f t="shared" si="13"/>
        <v>Morning (06-11)</v>
      </c>
      <c r="P167" t="str">
        <f t="shared" si="14"/>
        <v>Tuesday</v>
      </c>
    </row>
    <row r="168" spans="1:16" x14ac:dyDescent="0.25">
      <c r="A168" t="s">
        <v>378</v>
      </c>
      <c r="B168" s="29">
        <v>45937.125</v>
      </c>
      <c r="C168" t="s">
        <v>79</v>
      </c>
      <c r="D168" t="s">
        <v>128</v>
      </c>
      <c r="E168" t="s">
        <v>94</v>
      </c>
      <c r="F168" s="34" t="s">
        <v>379</v>
      </c>
      <c r="G168" s="30">
        <v>5097</v>
      </c>
      <c r="H168" s="30">
        <v>256</v>
      </c>
      <c r="I168" s="30">
        <v>8</v>
      </c>
      <c r="J168" s="30">
        <v>7</v>
      </c>
      <c r="K168" s="30">
        <v>11</v>
      </c>
      <c r="L168" s="30">
        <f t="shared" si="10"/>
        <v>282</v>
      </c>
      <c r="M168" s="31">
        <f t="shared" si="11"/>
        <v>5.5326662742789877E-2</v>
      </c>
      <c r="N168" s="32">
        <f t="shared" si="12"/>
        <v>3</v>
      </c>
      <c r="O168" t="str">
        <f t="shared" si="13"/>
        <v>Night (21-05)</v>
      </c>
      <c r="P168" t="str">
        <f t="shared" si="14"/>
        <v>Tuesday</v>
      </c>
    </row>
    <row r="169" spans="1:16" ht="26.4" x14ac:dyDescent="0.25">
      <c r="A169" t="s">
        <v>380</v>
      </c>
      <c r="B169" s="29">
        <v>45757.958333333299</v>
      </c>
      <c r="C169" t="s">
        <v>84</v>
      </c>
      <c r="D169" t="s">
        <v>75</v>
      </c>
      <c r="E169" t="s">
        <v>111</v>
      </c>
      <c r="F169" s="34" t="s">
        <v>381</v>
      </c>
      <c r="G169" s="30">
        <v>8403</v>
      </c>
      <c r="H169" s="30">
        <v>341</v>
      </c>
      <c r="I169" s="30">
        <v>15</v>
      </c>
      <c r="J169" s="30">
        <v>10</v>
      </c>
      <c r="K169" s="30">
        <v>33</v>
      </c>
      <c r="L169" s="30">
        <f t="shared" si="10"/>
        <v>399</v>
      </c>
      <c r="M169" s="31">
        <f t="shared" si="11"/>
        <v>4.7483041770796146E-2</v>
      </c>
      <c r="N169" s="32">
        <f t="shared" si="12"/>
        <v>23</v>
      </c>
      <c r="O169" t="str">
        <f t="shared" si="13"/>
        <v>Night (21-05)</v>
      </c>
      <c r="P169" t="str">
        <f t="shared" si="14"/>
        <v>Thursday</v>
      </c>
    </row>
    <row r="170" spans="1:16" x14ac:dyDescent="0.25">
      <c r="A170" t="s">
        <v>382</v>
      </c>
      <c r="B170" s="29">
        <v>45853.541666666701</v>
      </c>
      <c r="C170" t="s">
        <v>74</v>
      </c>
      <c r="D170" t="s">
        <v>80</v>
      </c>
      <c r="E170" t="s">
        <v>88</v>
      </c>
      <c r="F170" s="34" t="s">
        <v>383</v>
      </c>
      <c r="G170" s="30">
        <v>20873</v>
      </c>
      <c r="H170" s="30">
        <v>1632</v>
      </c>
      <c r="I170" s="30">
        <v>106</v>
      </c>
      <c r="J170" s="30">
        <v>31</v>
      </c>
      <c r="K170" s="30">
        <v>120</v>
      </c>
      <c r="L170" s="30">
        <f t="shared" si="10"/>
        <v>1889</v>
      </c>
      <c r="M170" s="31">
        <f t="shared" si="11"/>
        <v>9.0499688592919084E-2</v>
      </c>
      <c r="N170" s="32">
        <f t="shared" si="12"/>
        <v>13</v>
      </c>
      <c r="O170" t="str">
        <f t="shared" si="13"/>
        <v>Afternoon (12-16)</v>
      </c>
      <c r="P170" t="str">
        <f t="shared" si="14"/>
        <v>Tuesday</v>
      </c>
    </row>
    <row r="171" spans="1:16" ht="26.4" x14ac:dyDescent="0.25">
      <c r="A171" t="s">
        <v>384</v>
      </c>
      <c r="B171" s="29">
        <v>46099.041666666701</v>
      </c>
      <c r="C171" t="s">
        <v>100</v>
      </c>
      <c r="D171" t="s">
        <v>85</v>
      </c>
      <c r="E171" t="s">
        <v>81</v>
      </c>
      <c r="F171" s="34" t="s">
        <v>385</v>
      </c>
      <c r="G171" s="30">
        <v>11268</v>
      </c>
      <c r="H171" s="30">
        <v>937</v>
      </c>
      <c r="I171" s="30">
        <v>89</v>
      </c>
      <c r="J171" s="30">
        <v>125</v>
      </c>
      <c r="K171" s="30">
        <v>62</v>
      </c>
      <c r="L171" s="30">
        <f t="shared" si="10"/>
        <v>1213</v>
      </c>
      <c r="M171" s="31">
        <f t="shared" si="11"/>
        <v>0.10764998225062122</v>
      </c>
      <c r="N171" s="32">
        <f t="shared" si="12"/>
        <v>1</v>
      </c>
      <c r="O171" t="str">
        <f t="shared" si="13"/>
        <v>Night (21-05)</v>
      </c>
      <c r="P171" t="str">
        <f t="shared" si="14"/>
        <v>Wednesday</v>
      </c>
    </row>
    <row r="172" spans="1:16" x14ac:dyDescent="0.25">
      <c r="A172" t="s">
        <v>386</v>
      </c>
      <c r="B172" s="29">
        <v>45960</v>
      </c>
      <c r="C172" t="s">
        <v>100</v>
      </c>
      <c r="D172" t="s">
        <v>128</v>
      </c>
      <c r="E172" t="s">
        <v>131</v>
      </c>
      <c r="F172" s="34" t="s">
        <v>246</v>
      </c>
      <c r="G172" s="30">
        <v>7174</v>
      </c>
      <c r="H172" s="30">
        <v>293</v>
      </c>
      <c r="I172" s="30">
        <v>5</v>
      </c>
      <c r="J172" s="30">
        <v>13</v>
      </c>
      <c r="K172" s="30">
        <v>69</v>
      </c>
      <c r="L172" s="30">
        <f t="shared" si="10"/>
        <v>380</v>
      </c>
      <c r="M172" s="31">
        <f t="shared" si="11"/>
        <v>5.2969054920546418E-2</v>
      </c>
      <c r="N172" s="32">
        <f t="shared" si="12"/>
        <v>0</v>
      </c>
      <c r="O172" t="str">
        <f t="shared" si="13"/>
        <v>Night (21-05)</v>
      </c>
      <c r="P172" t="str">
        <f t="shared" si="14"/>
        <v>Thursday</v>
      </c>
    </row>
    <row r="173" spans="1:16" x14ac:dyDescent="0.25">
      <c r="A173" t="s">
        <v>387</v>
      </c>
      <c r="B173" s="29">
        <v>46102.916666666701</v>
      </c>
      <c r="C173" t="s">
        <v>84</v>
      </c>
      <c r="D173" t="s">
        <v>97</v>
      </c>
      <c r="E173" t="s">
        <v>88</v>
      </c>
      <c r="F173" s="34" t="s">
        <v>388</v>
      </c>
      <c r="G173" s="30">
        <v>6315</v>
      </c>
      <c r="H173" s="30">
        <v>534</v>
      </c>
      <c r="I173" s="30">
        <v>17</v>
      </c>
      <c r="J173" s="30">
        <v>68</v>
      </c>
      <c r="K173" s="30">
        <v>6</v>
      </c>
      <c r="L173" s="30">
        <f t="shared" si="10"/>
        <v>625</v>
      </c>
      <c r="M173" s="31">
        <f t="shared" si="11"/>
        <v>9.8970704671417262E-2</v>
      </c>
      <c r="N173" s="32">
        <f t="shared" si="12"/>
        <v>22</v>
      </c>
      <c r="O173" t="str">
        <f t="shared" si="13"/>
        <v>Night (21-05)</v>
      </c>
      <c r="P173" t="str">
        <f t="shared" si="14"/>
        <v>Saturday</v>
      </c>
    </row>
    <row r="174" spans="1:16" ht="26.4" x14ac:dyDescent="0.25">
      <c r="A174" t="s">
        <v>389</v>
      </c>
      <c r="B174" s="29">
        <v>45942.041666666701</v>
      </c>
      <c r="C174" t="s">
        <v>79</v>
      </c>
      <c r="D174" t="s">
        <v>85</v>
      </c>
      <c r="E174" t="s">
        <v>115</v>
      </c>
      <c r="F174" s="34" t="s">
        <v>390</v>
      </c>
      <c r="G174" s="30">
        <v>9693</v>
      </c>
      <c r="H174" s="30">
        <v>516</v>
      </c>
      <c r="I174" s="30">
        <v>50</v>
      </c>
      <c r="J174" s="30">
        <v>64</v>
      </c>
      <c r="K174" s="30">
        <v>20</v>
      </c>
      <c r="L174" s="30">
        <f t="shared" si="10"/>
        <v>650</v>
      </c>
      <c r="M174" s="31">
        <f t="shared" si="11"/>
        <v>6.7058702156195193E-2</v>
      </c>
      <c r="N174" s="32">
        <f t="shared" si="12"/>
        <v>1</v>
      </c>
      <c r="O174" t="str">
        <f t="shared" si="13"/>
        <v>Night (21-05)</v>
      </c>
      <c r="P174" t="str">
        <f t="shared" si="14"/>
        <v>Sunday</v>
      </c>
    </row>
    <row r="175" spans="1:16" x14ac:dyDescent="0.25">
      <c r="A175" t="s">
        <v>391</v>
      </c>
      <c r="B175" s="29">
        <v>45761.916666666701</v>
      </c>
      <c r="C175" t="s">
        <v>79</v>
      </c>
      <c r="D175" t="s">
        <v>85</v>
      </c>
      <c r="E175" t="s">
        <v>115</v>
      </c>
      <c r="F175" s="34" t="s">
        <v>313</v>
      </c>
      <c r="G175" s="30">
        <v>9310</v>
      </c>
      <c r="H175" s="30">
        <v>338</v>
      </c>
      <c r="I175" s="30">
        <v>13</v>
      </c>
      <c r="J175" s="30">
        <v>30</v>
      </c>
      <c r="K175" s="30">
        <v>76</v>
      </c>
      <c r="L175" s="30">
        <f t="shared" si="10"/>
        <v>457</v>
      </c>
      <c r="M175" s="31">
        <f t="shared" si="11"/>
        <v>4.9087003222341566E-2</v>
      </c>
      <c r="N175" s="32">
        <f t="shared" si="12"/>
        <v>22</v>
      </c>
      <c r="O175" t="str">
        <f t="shared" si="13"/>
        <v>Night (21-05)</v>
      </c>
      <c r="P175" t="str">
        <f t="shared" si="14"/>
        <v>Monday</v>
      </c>
    </row>
    <row r="176" spans="1:16" x14ac:dyDescent="0.25">
      <c r="A176" t="s">
        <v>392</v>
      </c>
      <c r="B176" s="29">
        <v>45994.791666666701</v>
      </c>
      <c r="C176" t="s">
        <v>74</v>
      </c>
      <c r="D176" t="s">
        <v>85</v>
      </c>
      <c r="E176" t="s">
        <v>76</v>
      </c>
      <c r="F176" s="34" t="s">
        <v>349</v>
      </c>
      <c r="G176" s="30">
        <v>6423</v>
      </c>
      <c r="H176" s="30">
        <v>453</v>
      </c>
      <c r="I176" s="30">
        <v>16</v>
      </c>
      <c r="J176" s="30">
        <v>40</v>
      </c>
      <c r="K176" s="30">
        <v>52</v>
      </c>
      <c r="L176" s="30">
        <f t="shared" si="10"/>
        <v>561</v>
      </c>
      <c r="M176" s="31">
        <f t="shared" si="11"/>
        <v>8.7342363381597385E-2</v>
      </c>
      <c r="N176" s="32">
        <f t="shared" si="12"/>
        <v>19</v>
      </c>
      <c r="O176" t="str">
        <f t="shared" si="13"/>
        <v>Evening (17-20)</v>
      </c>
      <c r="P176" t="str">
        <f t="shared" si="14"/>
        <v>Wednesday</v>
      </c>
    </row>
    <row r="177" spans="1:16" ht="26.4" x14ac:dyDescent="0.25">
      <c r="A177" t="s">
        <v>393</v>
      </c>
      <c r="B177" s="29">
        <v>45894.375</v>
      </c>
      <c r="C177" t="s">
        <v>100</v>
      </c>
      <c r="D177" t="s">
        <v>85</v>
      </c>
      <c r="E177" t="s">
        <v>131</v>
      </c>
      <c r="F177" s="34" t="s">
        <v>77</v>
      </c>
      <c r="G177" s="30">
        <v>7198</v>
      </c>
      <c r="H177" s="30">
        <v>577</v>
      </c>
      <c r="I177" s="30">
        <v>19</v>
      </c>
      <c r="J177" s="30">
        <v>39</v>
      </c>
      <c r="K177" s="30">
        <v>56</v>
      </c>
      <c r="L177" s="30">
        <f t="shared" si="10"/>
        <v>691</v>
      </c>
      <c r="M177" s="31">
        <f t="shared" si="11"/>
        <v>9.599888858016116E-2</v>
      </c>
      <c r="N177" s="32">
        <f t="shared" si="12"/>
        <v>9</v>
      </c>
      <c r="O177" t="str">
        <f t="shared" si="13"/>
        <v>Morning (06-11)</v>
      </c>
      <c r="P177" t="str">
        <f t="shared" si="14"/>
        <v>Monday</v>
      </c>
    </row>
    <row r="178" spans="1:16" x14ac:dyDescent="0.25">
      <c r="A178" t="s">
        <v>394</v>
      </c>
      <c r="B178" s="29">
        <v>45965.583333333299</v>
      </c>
      <c r="C178" t="s">
        <v>100</v>
      </c>
      <c r="D178" t="s">
        <v>75</v>
      </c>
      <c r="E178" t="s">
        <v>88</v>
      </c>
      <c r="F178" s="34" t="s">
        <v>395</v>
      </c>
      <c r="G178" s="30">
        <v>4721</v>
      </c>
      <c r="H178" s="30">
        <v>288</v>
      </c>
      <c r="I178" s="30">
        <v>23</v>
      </c>
      <c r="J178" s="30">
        <v>16</v>
      </c>
      <c r="K178" s="30">
        <v>8</v>
      </c>
      <c r="L178" s="30">
        <f t="shared" si="10"/>
        <v>335</v>
      </c>
      <c r="M178" s="31">
        <f t="shared" si="11"/>
        <v>7.0959542469815715E-2</v>
      </c>
      <c r="N178" s="32">
        <f t="shared" si="12"/>
        <v>14</v>
      </c>
      <c r="O178" t="str">
        <f t="shared" si="13"/>
        <v>Afternoon (12-16)</v>
      </c>
      <c r="P178" t="str">
        <f t="shared" si="14"/>
        <v>Tuesday</v>
      </c>
    </row>
    <row r="179" spans="1:16" x14ac:dyDescent="0.25">
      <c r="A179" t="s">
        <v>396</v>
      </c>
      <c r="B179" s="29">
        <v>46047.791666666701</v>
      </c>
      <c r="C179" t="s">
        <v>79</v>
      </c>
      <c r="D179" t="s">
        <v>85</v>
      </c>
      <c r="E179" t="s">
        <v>91</v>
      </c>
      <c r="F179" s="34" t="s">
        <v>397</v>
      </c>
      <c r="G179" s="30">
        <v>5710</v>
      </c>
      <c r="H179" s="30">
        <v>272</v>
      </c>
      <c r="I179" s="30">
        <v>7</v>
      </c>
      <c r="J179" s="30">
        <v>38</v>
      </c>
      <c r="K179" s="30">
        <v>8</v>
      </c>
      <c r="L179" s="30">
        <f t="shared" si="10"/>
        <v>325</v>
      </c>
      <c r="M179" s="31">
        <f t="shared" si="11"/>
        <v>5.6917688266199647E-2</v>
      </c>
      <c r="N179" s="32">
        <f t="shared" si="12"/>
        <v>19</v>
      </c>
      <c r="O179" t="str">
        <f t="shared" si="13"/>
        <v>Evening (17-20)</v>
      </c>
      <c r="P179" t="str">
        <f t="shared" si="14"/>
        <v>Sunday</v>
      </c>
    </row>
    <row r="180" spans="1:16" x14ac:dyDescent="0.25">
      <c r="A180" t="s">
        <v>398</v>
      </c>
      <c r="B180" s="29">
        <v>45811.541666666701</v>
      </c>
      <c r="C180" t="s">
        <v>74</v>
      </c>
      <c r="D180" t="s">
        <v>85</v>
      </c>
      <c r="E180" t="s">
        <v>76</v>
      </c>
      <c r="F180" s="34" t="s">
        <v>227</v>
      </c>
      <c r="G180" s="30">
        <v>4873</v>
      </c>
      <c r="H180" s="30">
        <v>274</v>
      </c>
      <c r="I180" s="30">
        <v>13</v>
      </c>
      <c r="J180" s="30">
        <v>32</v>
      </c>
      <c r="K180" s="30">
        <v>38</v>
      </c>
      <c r="L180" s="30">
        <f t="shared" si="10"/>
        <v>357</v>
      </c>
      <c r="M180" s="31">
        <f t="shared" si="11"/>
        <v>7.3260824953827214E-2</v>
      </c>
      <c r="N180" s="32">
        <f t="shared" si="12"/>
        <v>13</v>
      </c>
      <c r="O180" t="str">
        <f t="shared" si="13"/>
        <v>Afternoon (12-16)</v>
      </c>
      <c r="P180" t="str">
        <f t="shared" si="14"/>
        <v>Tuesday</v>
      </c>
    </row>
    <row r="181" spans="1:16" ht="26.4" x14ac:dyDescent="0.25">
      <c r="A181" t="s">
        <v>399</v>
      </c>
      <c r="B181" s="29">
        <v>45826.791666666701</v>
      </c>
      <c r="C181" t="s">
        <v>79</v>
      </c>
      <c r="D181" t="s">
        <v>80</v>
      </c>
      <c r="E181" t="s">
        <v>115</v>
      </c>
      <c r="F181" s="34" t="s">
        <v>400</v>
      </c>
      <c r="G181" s="30">
        <v>13316</v>
      </c>
      <c r="H181" s="30">
        <v>825</v>
      </c>
      <c r="I181" s="30">
        <v>77</v>
      </c>
      <c r="J181" s="30">
        <v>80</v>
      </c>
      <c r="K181" s="30">
        <v>71</v>
      </c>
      <c r="L181" s="30">
        <f t="shared" si="10"/>
        <v>1053</v>
      </c>
      <c r="M181" s="31">
        <f t="shared" si="11"/>
        <v>7.9077801141483925E-2</v>
      </c>
      <c r="N181" s="32">
        <f t="shared" si="12"/>
        <v>19</v>
      </c>
      <c r="O181" t="str">
        <f t="shared" si="13"/>
        <v>Evening (17-20)</v>
      </c>
      <c r="P181" t="str">
        <f t="shared" si="14"/>
        <v>Wednesday</v>
      </c>
    </row>
    <row r="182" spans="1:16" ht="26.4" x14ac:dyDescent="0.25">
      <c r="A182" t="s">
        <v>401</v>
      </c>
      <c r="B182" s="29">
        <v>45845.916666666701</v>
      </c>
      <c r="C182" t="s">
        <v>74</v>
      </c>
      <c r="D182" t="s">
        <v>80</v>
      </c>
      <c r="E182" t="s">
        <v>115</v>
      </c>
      <c r="F182" s="34" t="s">
        <v>107</v>
      </c>
      <c r="G182" s="30">
        <v>44646</v>
      </c>
      <c r="H182" s="30">
        <v>3476</v>
      </c>
      <c r="I182" s="30">
        <v>71</v>
      </c>
      <c r="J182" s="30">
        <v>368</v>
      </c>
      <c r="K182" s="30">
        <v>317</v>
      </c>
      <c r="L182" s="30">
        <f t="shared" si="10"/>
        <v>4232</v>
      </c>
      <c r="M182" s="31">
        <f t="shared" si="11"/>
        <v>9.4790126775075034E-2</v>
      </c>
      <c r="N182" s="32">
        <f t="shared" si="12"/>
        <v>22</v>
      </c>
      <c r="O182" t="str">
        <f t="shared" si="13"/>
        <v>Night (21-05)</v>
      </c>
      <c r="P182" t="str">
        <f t="shared" si="14"/>
        <v>Monday</v>
      </c>
    </row>
    <row r="183" spans="1:16" ht="26.4" x14ac:dyDescent="0.25">
      <c r="A183" t="s">
        <v>402</v>
      </c>
      <c r="B183" s="29">
        <v>45761.208333333299</v>
      </c>
      <c r="C183" t="s">
        <v>84</v>
      </c>
      <c r="D183" t="s">
        <v>85</v>
      </c>
      <c r="E183" t="s">
        <v>81</v>
      </c>
      <c r="F183" s="34" t="s">
        <v>403</v>
      </c>
      <c r="G183" s="30">
        <v>4611</v>
      </c>
      <c r="H183" s="30">
        <v>162</v>
      </c>
      <c r="I183" s="30">
        <v>15</v>
      </c>
      <c r="J183" s="30">
        <v>1</v>
      </c>
      <c r="K183" s="30">
        <v>14</v>
      </c>
      <c r="L183" s="30">
        <f t="shared" si="10"/>
        <v>192</v>
      </c>
      <c r="M183" s="31">
        <f t="shared" si="11"/>
        <v>4.1639557579700719E-2</v>
      </c>
      <c r="N183" s="32">
        <f t="shared" si="12"/>
        <v>5</v>
      </c>
      <c r="O183" t="str">
        <f t="shared" si="13"/>
        <v>Night (21-05)</v>
      </c>
      <c r="P183" t="str">
        <f t="shared" si="14"/>
        <v>Monday</v>
      </c>
    </row>
    <row r="184" spans="1:16" x14ac:dyDescent="0.25">
      <c r="A184" t="s">
        <v>404</v>
      </c>
      <c r="B184" s="29">
        <v>46078.166666666701</v>
      </c>
      <c r="C184" t="s">
        <v>100</v>
      </c>
      <c r="D184" t="s">
        <v>75</v>
      </c>
      <c r="E184" t="s">
        <v>94</v>
      </c>
      <c r="F184" s="34" t="s">
        <v>154</v>
      </c>
      <c r="G184" s="30">
        <v>16532</v>
      </c>
      <c r="H184" s="30">
        <v>1330</v>
      </c>
      <c r="I184" s="30">
        <v>106</v>
      </c>
      <c r="J184" s="30">
        <v>177</v>
      </c>
      <c r="K184" s="30">
        <v>23</v>
      </c>
      <c r="L184" s="30">
        <f t="shared" si="10"/>
        <v>1636</v>
      </c>
      <c r="M184" s="31">
        <f t="shared" si="11"/>
        <v>9.8959593515606098E-2</v>
      </c>
      <c r="N184" s="32">
        <f t="shared" si="12"/>
        <v>4</v>
      </c>
      <c r="O184" t="str">
        <f t="shared" si="13"/>
        <v>Night (21-05)</v>
      </c>
      <c r="P184" t="str">
        <f t="shared" si="14"/>
        <v>Wednesday</v>
      </c>
    </row>
    <row r="185" spans="1:16" ht="26.4" x14ac:dyDescent="0.25">
      <c r="A185" t="s">
        <v>405</v>
      </c>
      <c r="B185" s="29">
        <v>46003.833333333299</v>
      </c>
      <c r="C185" t="s">
        <v>74</v>
      </c>
      <c r="D185" t="s">
        <v>97</v>
      </c>
      <c r="E185" t="s">
        <v>76</v>
      </c>
      <c r="F185" s="34" t="s">
        <v>406</v>
      </c>
      <c r="G185" s="30">
        <v>3935</v>
      </c>
      <c r="H185" s="30">
        <v>292</v>
      </c>
      <c r="I185" s="30">
        <v>6</v>
      </c>
      <c r="J185" s="30">
        <v>4</v>
      </c>
      <c r="K185" s="30">
        <v>4</v>
      </c>
      <c r="L185" s="30">
        <f t="shared" si="10"/>
        <v>306</v>
      </c>
      <c r="M185" s="31">
        <f t="shared" si="11"/>
        <v>7.7763659466327822E-2</v>
      </c>
      <c r="N185" s="32">
        <f t="shared" si="12"/>
        <v>20</v>
      </c>
      <c r="O185" t="str">
        <f t="shared" si="13"/>
        <v>Evening (17-20)</v>
      </c>
      <c r="P185" t="str">
        <f t="shared" si="14"/>
        <v>Friday</v>
      </c>
    </row>
    <row r="186" spans="1:16" x14ac:dyDescent="0.25">
      <c r="A186" t="s">
        <v>407</v>
      </c>
      <c r="B186" s="29">
        <v>45752.666666666701</v>
      </c>
      <c r="C186" t="s">
        <v>74</v>
      </c>
      <c r="D186" t="s">
        <v>85</v>
      </c>
      <c r="E186" t="s">
        <v>81</v>
      </c>
      <c r="F186" s="34" t="s">
        <v>253</v>
      </c>
      <c r="G186" s="30">
        <v>5553</v>
      </c>
      <c r="H186" s="30">
        <v>457</v>
      </c>
      <c r="I186" s="30">
        <v>31</v>
      </c>
      <c r="J186" s="30">
        <v>25</v>
      </c>
      <c r="K186" s="30">
        <v>21</v>
      </c>
      <c r="L186" s="30">
        <f t="shared" si="10"/>
        <v>534</v>
      </c>
      <c r="M186" s="31">
        <f t="shared" si="11"/>
        <v>9.6164235548352239E-2</v>
      </c>
      <c r="N186" s="32">
        <f t="shared" si="12"/>
        <v>16</v>
      </c>
      <c r="O186" t="str">
        <f t="shared" si="13"/>
        <v>Afternoon (12-16)</v>
      </c>
      <c r="P186" t="str">
        <f t="shared" si="14"/>
        <v>Saturday</v>
      </c>
    </row>
    <row r="187" spans="1:16" x14ac:dyDescent="0.25">
      <c r="A187" t="s">
        <v>408</v>
      </c>
      <c r="B187" s="29">
        <v>45983.708333333299</v>
      </c>
      <c r="C187" t="s">
        <v>74</v>
      </c>
      <c r="D187" t="s">
        <v>85</v>
      </c>
      <c r="E187" t="s">
        <v>111</v>
      </c>
      <c r="F187" s="34" t="s">
        <v>409</v>
      </c>
      <c r="G187" s="30">
        <v>12500</v>
      </c>
      <c r="H187" s="30">
        <v>1040</v>
      </c>
      <c r="I187" s="30">
        <v>67</v>
      </c>
      <c r="J187" s="30">
        <v>106</v>
      </c>
      <c r="K187" s="30">
        <v>55</v>
      </c>
      <c r="L187" s="30">
        <f t="shared" si="10"/>
        <v>1268</v>
      </c>
      <c r="M187" s="31">
        <f t="shared" si="11"/>
        <v>0.10144</v>
      </c>
      <c r="N187" s="32">
        <f t="shared" si="12"/>
        <v>17</v>
      </c>
      <c r="O187" t="str">
        <f t="shared" si="13"/>
        <v>Evening (17-20)</v>
      </c>
      <c r="P187" t="str">
        <f t="shared" si="14"/>
        <v>Saturday</v>
      </c>
    </row>
    <row r="188" spans="1:16" x14ac:dyDescent="0.25">
      <c r="A188" t="s">
        <v>410</v>
      </c>
      <c r="B188" s="29">
        <v>45816.208333333299</v>
      </c>
      <c r="C188" t="s">
        <v>79</v>
      </c>
      <c r="D188" t="s">
        <v>75</v>
      </c>
      <c r="E188" t="s">
        <v>115</v>
      </c>
      <c r="F188" s="34" t="s">
        <v>323</v>
      </c>
      <c r="G188" s="30">
        <v>5699</v>
      </c>
      <c r="H188" s="30">
        <v>489</v>
      </c>
      <c r="I188" s="30">
        <v>29</v>
      </c>
      <c r="J188" s="30">
        <v>46</v>
      </c>
      <c r="K188" s="30">
        <v>7</v>
      </c>
      <c r="L188" s="30">
        <f t="shared" si="10"/>
        <v>571</v>
      </c>
      <c r="M188" s="31">
        <f t="shared" si="11"/>
        <v>0.10019301631865239</v>
      </c>
      <c r="N188" s="32">
        <f t="shared" si="12"/>
        <v>5</v>
      </c>
      <c r="O188" t="str">
        <f t="shared" si="13"/>
        <v>Night (21-05)</v>
      </c>
      <c r="P188" t="str">
        <f t="shared" si="14"/>
        <v>Sunday</v>
      </c>
    </row>
    <row r="189" spans="1:16" x14ac:dyDescent="0.25">
      <c r="A189" t="s">
        <v>411</v>
      </c>
      <c r="B189" s="29">
        <v>45890.5</v>
      </c>
      <c r="C189" t="s">
        <v>100</v>
      </c>
      <c r="D189" t="s">
        <v>80</v>
      </c>
      <c r="E189" t="s">
        <v>115</v>
      </c>
      <c r="F189" s="34" t="s">
        <v>246</v>
      </c>
      <c r="G189" s="30">
        <v>13043</v>
      </c>
      <c r="H189" s="30">
        <v>1144</v>
      </c>
      <c r="I189" s="30">
        <v>107</v>
      </c>
      <c r="J189" s="30">
        <v>23</v>
      </c>
      <c r="K189" s="30">
        <v>61</v>
      </c>
      <c r="L189" s="30">
        <f t="shared" si="10"/>
        <v>1335</v>
      </c>
      <c r="M189" s="31">
        <f t="shared" si="11"/>
        <v>0.10235375297094226</v>
      </c>
      <c r="N189" s="32">
        <f t="shared" si="12"/>
        <v>12</v>
      </c>
      <c r="O189" t="str">
        <f t="shared" si="13"/>
        <v>Afternoon (12-16)</v>
      </c>
      <c r="P189" t="str">
        <f t="shared" si="14"/>
        <v>Thursday</v>
      </c>
    </row>
    <row r="190" spans="1:16" ht="26.4" x14ac:dyDescent="0.25">
      <c r="A190" t="s">
        <v>412</v>
      </c>
      <c r="B190" s="29">
        <v>46010.333333333299</v>
      </c>
      <c r="C190" t="s">
        <v>84</v>
      </c>
      <c r="D190" t="s">
        <v>85</v>
      </c>
      <c r="E190" t="s">
        <v>115</v>
      </c>
      <c r="F190" s="34" t="s">
        <v>178</v>
      </c>
      <c r="G190" s="30">
        <v>18392</v>
      </c>
      <c r="H190" s="30">
        <v>585</v>
      </c>
      <c r="I190" s="30">
        <v>54</v>
      </c>
      <c r="J190" s="30">
        <v>46</v>
      </c>
      <c r="K190" s="30">
        <v>36</v>
      </c>
      <c r="L190" s="30">
        <f t="shared" si="10"/>
        <v>721</v>
      </c>
      <c r="M190" s="31">
        <f t="shared" si="11"/>
        <v>3.9201826881252719E-2</v>
      </c>
      <c r="N190" s="32">
        <f t="shared" si="12"/>
        <v>8</v>
      </c>
      <c r="O190" t="str">
        <f t="shared" si="13"/>
        <v>Morning (06-11)</v>
      </c>
      <c r="P190" t="str">
        <f t="shared" si="14"/>
        <v>Friday</v>
      </c>
    </row>
    <row r="191" spans="1:16" x14ac:dyDescent="0.25">
      <c r="A191" t="s">
        <v>413</v>
      </c>
      <c r="B191" s="29">
        <v>46048.5</v>
      </c>
      <c r="C191" t="s">
        <v>79</v>
      </c>
      <c r="D191" t="s">
        <v>80</v>
      </c>
      <c r="E191" t="s">
        <v>115</v>
      </c>
      <c r="F191" s="34" t="s">
        <v>261</v>
      </c>
      <c r="G191" s="30">
        <v>15566</v>
      </c>
      <c r="H191" s="30">
        <v>1245</v>
      </c>
      <c r="I191" s="30">
        <v>70</v>
      </c>
      <c r="J191" s="30">
        <v>135</v>
      </c>
      <c r="K191" s="30">
        <v>90</v>
      </c>
      <c r="L191" s="30">
        <f t="shared" si="10"/>
        <v>1540</v>
      </c>
      <c r="M191" s="31">
        <f t="shared" si="11"/>
        <v>9.8933573172298603E-2</v>
      </c>
      <c r="N191" s="32">
        <f t="shared" si="12"/>
        <v>12</v>
      </c>
      <c r="O191" t="str">
        <f t="shared" si="13"/>
        <v>Afternoon (12-16)</v>
      </c>
      <c r="P191" t="str">
        <f t="shared" si="14"/>
        <v>Monday</v>
      </c>
    </row>
    <row r="192" spans="1:16" x14ac:dyDescent="0.25">
      <c r="A192" t="s">
        <v>414</v>
      </c>
      <c r="B192" s="29">
        <v>45912.583333333299</v>
      </c>
      <c r="C192" t="s">
        <v>79</v>
      </c>
      <c r="D192" t="s">
        <v>80</v>
      </c>
      <c r="E192" t="s">
        <v>76</v>
      </c>
      <c r="F192" s="34" t="s">
        <v>415</v>
      </c>
      <c r="G192" s="30">
        <v>21447</v>
      </c>
      <c r="H192" s="30">
        <v>1116</v>
      </c>
      <c r="I192" s="30">
        <v>100</v>
      </c>
      <c r="J192" s="30">
        <v>133</v>
      </c>
      <c r="K192" s="30">
        <v>71</v>
      </c>
      <c r="L192" s="30">
        <f t="shared" si="10"/>
        <v>1420</v>
      </c>
      <c r="M192" s="31">
        <f t="shared" si="11"/>
        <v>6.6209726302046912E-2</v>
      </c>
      <c r="N192" s="32">
        <f t="shared" si="12"/>
        <v>14</v>
      </c>
      <c r="O192" t="str">
        <f t="shared" si="13"/>
        <v>Afternoon (12-16)</v>
      </c>
      <c r="P192" t="str">
        <f t="shared" si="14"/>
        <v>Friday</v>
      </c>
    </row>
    <row r="193" spans="1:16" ht="26.4" x14ac:dyDescent="0.25">
      <c r="A193" t="s">
        <v>416</v>
      </c>
      <c r="B193" s="29">
        <v>45801.125</v>
      </c>
      <c r="C193" t="s">
        <v>74</v>
      </c>
      <c r="D193" t="s">
        <v>85</v>
      </c>
      <c r="E193" t="s">
        <v>76</v>
      </c>
      <c r="F193" s="34" t="s">
        <v>417</v>
      </c>
      <c r="G193" s="30">
        <v>27276</v>
      </c>
      <c r="H193" s="30">
        <v>1744</v>
      </c>
      <c r="I193" s="30">
        <v>123</v>
      </c>
      <c r="J193" s="30">
        <v>84</v>
      </c>
      <c r="K193" s="30">
        <v>110</v>
      </c>
      <c r="L193" s="30">
        <f t="shared" si="10"/>
        <v>2061</v>
      </c>
      <c r="M193" s="31">
        <f t="shared" si="11"/>
        <v>7.5560932688077426E-2</v>
      </c>
      <c r="N193" s="32">
        <f t="shared" si="12"/>
        <v>3</v>
      </c>
      <c r="O193" t="str">
        <f t="shared" si="13"/>
        <v>Night (21-05)</v>
      </c>
      <c r="P193" t="str">
        <f t="shared" si="14"/>
        <v>Saturday</v>
      </c>
    </row>
    <row r="194" spans="1:16" ht="26.4" x14ac:dyDescent="0.25">
      <c r="A194" t="s">
        <v>418</v>
      </c>
      <c r="B194" s="29">
        <v>45840.666666666701</v>
      </c>
      <c r="C194" t="s">
        <v>84</v>
      </c>
      <c r="D194" t="s">
        <v>80</v>
      </c>
      <c r="E194" t="s">
        <v>88</v>
      </c>
      <c r="F194" s="34" t="s">
        <v>419</v>
      </c>
      <c r="G194" s="30">
        <v>6164</v>
      </c>
      <c r="H194" s="30">
        <v>304</v>
      </c>
      <c r="I194" s="30">
        <v>27</v>
      </c>
      <c r="J194" s="30">
        <v>5</v>
      </c>
      <c r="K194" s="30">
        <v>16</v>
      </c>
      <c r="L194" s="30">
        <f t="shared" ref="L194:L257" si="15">SUM(H194:K194)</f>
        <v>352</v>
      </c>
      <c r="M194" s="31">
        <f t="shared" ref="M194:M257" si="16">IFERROR(L194/G194,0)</f>
        <v>5.710577547047372E-2</v>
      </c>
      <c r="N194" s="32">
        <f t="shared" ref="N194:N251" si="17">MOD(ROUND(B194*24,0),24)</f>
        <v>16</v>
      </c>
      <c r="O194" t="str">
        <f t="shared" ref="O194:O257" si="18">IF(AND(N194&gt;=6,N194&lt;12),"Morning (06-11)",IF(AND(N194&gt;=12,N194&lt;17),"Afternoon (12-16)",IF(AND(N194&gt;=17,N194&lt;21),"Evening (17-20)","Night (21-05)")))</f>
        <v>Afternoon (12-16)</v>
      </c>
      <c r="P194" t="str">
        <f t="shared" ref="P194:P251" si="19">TEXT(B194,"dddd")</f>
        <v>Wednesday</v>
      </c>
    </row>
    <row r="195" spans="1:16" ht="26.4" x14ac:dyDescent="0.25">
      <c r="A195" t="s">
        <v>420</v>
      </c>
      <c r="B195" s="29">
        <v>45923.875</v>
      </c>
      <c r="C195" t="s">
        <v>74</v>
      </c>
      <c r="D195" t="s">
        <v>75</v>
      </c>
      <c r="E195" t="s">
        <v>131</v>
      </c>
      <c r="F195" s="34" t="s">
        <v>160</v>
      </c>
      <c r="G195" s="30">
        <v>22562</v>
      </c>
      <c r="H195" s="30">
        <v>732</v>
      </c>
      <c r="I195" s="30">
        <v>37</v>
      </c>
      <c r="J195" s="30">
        <v>61</v>
      </c>
      <c r="K195" s="30">
        <v>168</v>
      </c>
      <c r="L195" s="30">
        <f t="shared" si="15"/>
        <v>998</v>
      </c>
      <c r="M195" s="31">
        <f t="shared" si="16"/>
        <v>4.423366722808262E-2</v>
      </c>
      <c r="N195" s="32">
        <f t="shared" si="17"/>
        <v>21</v>
      </c>
      <c r="O195" t="str">
        <f t="shared" si="18"/>
        <v>Night (21-05)</v>
      </c>
      <c r="P195" t="str">
        <f t="shared" si="19"/>
        <v>Tuesday</v>
      </c>
    </row>
    <row r="196" spans="1:16" x14ac:dyDescent="0.25">
      <c r="A196" t="s">
        <v>421</v>
      </c>
      <c r="B196" s="29">
        <v>45777.5</v>
      </c>
      <c r="C196" t="s">
        <v>100</v>
      </c>
      <c r="D196" t="s">
        <v>75</v>
      </c>
      <c r="E196" t="s">
        <v>88</v>
      </c>
      <c r="F196" s="34" t="s">
        <v>124</v>
      </c>
      <c r="G196" s="30">
        <v>10743</v>
      </c>
      <c r="H196" s="30">
        <v>776</v>
      </c>
      <c r="I196" s="30">
        <v>50</v>
      </c>
      <c r="J196" s="30">
        <v>89</v>
      </c>
      <c r="K196" s="30">
        <v>94</v>
      </c>
      <c r="L196" s="30">
        <f t="shared" si="15"/>
        <v>1009</v>
      </c>
      <c r="M196" s="31">
        <f t="shared" si="16"/>
        <v>9.3921623382667782E-2</v>
      </c>
      <c r="N196" s="32">
        <f t="shared" si="17"/>
        <v>12</v>
      </c>
      <c r="O196" t="str">
        <f t="shared" si="18"/>
        <v>Afternoon (12-16)</v>
      </c>
      <c r="P196" t="str">
        <f t="shared" si="19"/>
        <v>Wednesday</v>
      </c>
    </row>
    <row r="197" spans="1:16" x14ac:dyDescent="0.25">
      <c r="A197" t="s">
        <v>422</v>
      </c>
      <c r="B197" s="29">
        <v>45927.666666666701</v>
      </c>
      <c r="C197" t="s">
        <v>74</v>
      </c>
      <c r="D197" t="s">
        <v>80</v>
      </c>
      <c r="E197" t="s">
        <v>76</v>
      </c>
      <c r="F197" s="34" t="s">
        <v>326</v>
      </c>
      <c r="G197" s="30">
        <v>25779</v>
      </c>
      <c r="H197" s="30">
        <v>875</v>
      </c>
      <c r="I197" s="30">
        <v>35</v>
      </c>
      <c r="J197" s="30">
        <v>85</v>
      </c>
      <c r="K197" s="30">
        <v>202</v>
      </c>
      <c r="L197" s="30">
        <f t="shared" si="15"/>
        <v>1197</v>
      </c>
      <c r="M197" s="31">
        <f t="shared" si="16"/>
        <v>4.6433143256138718E-2</v>
      </c>
      <c r="N197" s="32">
        <f t="shared" si="17"/>
        <v>16</v>
      </c>
      <c r="O197" t="str">
        <f t="shared" si="18"/>
        <v>Afternoon (12-16)</v>
      </c>
      <c r="P197" t="str">
        <f t="shared" si="19"/>
        <v>Saturday</v>
      </c>
    </row>
    <row r="198" spans="1:16" x14ac:dyDescent="0.25">
      <c r="A198" t="s">
        <v>423</v>
      </c>
      <c r="B198" s="29">
        <v>45808.333333333299</v>
      </c>
      <c r="C198" t="s">
        <v>74</v>
      </c>
      <c r="D198" t="s">
        <v>80</v>
      </c>
      <c r="E198" t="s">
        <v>81</v>
      </c>
      <c r="F198" s="34" t="s">
        <v>424</v>
      </c>
      <c r="G198" s="30">
        <v>16447</v>
      </c>
      <c r="H198" s="30">
        <v>909</v>
      </c>
      <c r="I198" s="30">
        <v>83</v>
      </c>
      <c r="J198" s="30">
        <v>49</v>
      </c>
      <c r="K198" s="30">
        <v>102</v>
      </c>
      <c r="L198" s="30">
        <f t="shared" si="15"/>
        <v>1143</v>
      </c>
      <c r="M198" s="31">
        <f t="shared" si="16"/>
        <v>6.949595670943029E-2</v>
      </c>
      <c r="N198" s="32">
        <f t="shared" si="17"/>
        <v>8</v>
      </c>
      <c r="O198" t="str">
        <f t="shared" si="18"/>
        <v>Morning (06-11)</v>
      </c>
      <c r="P198" t="str">
        <f t="shared" si="19"/>
        <v>Saturday</v>
      </c>
    </row>
    <row r="199" spans="1:16" x14ac:dyDescent="0.25">
      <c r="A199" t="s">
        <v>425</v>
      </c>
      <c r="B199" s="29">
        <v>45975.916666666701</v>
      </c>
      <c r="C199" t="s">
        <v>79</v>
      </c>
      <c r="D199" t="s">
        <v>85</v>
      </c>
      <c r="E199" t="s">
        <v>81</v>
      </c>
      <c r="F199" s="34" t="s">
        <v>426</v>
      </c>
      <c r="G199" s="30">
        <v>6083</v>
      </c>
      <c r="H199" s="30">
        <v>469</v>
      </c>
      <c r="I199" s="30">
        <v>42</v>
      </c>
      <c r="J199" s="30">
        <v>14</v>
      </c>
      <c r="K199" s="30">
        <v>54</v>
      </c>
      <c r="L199" s="30">
        <f t="shared" si="15"/>
        <v>579</v>
      </c>
      <c r="M199" s="31">
        <f t="shared" si="16"/>
        <v>9.5183297714943285E-2</v>
      </c>
      <c r="N199" s="32">
        <f t="shared" si="17"/>
        <v>22</v>
      </c>
      <c r="O199" t="str">
        <f t="shared" si="18"/>
        <v>Night (21-05)</v>
      </c>
      <c r="P199" t="str">
        <f t="shared" si="19"/>
        <v>Friday</v>
      </c>
    </row>
    <row r="200" spans="1:16" ht="26.4" x14ac:dyDescent="0.25">
      <c r="A200" t="s">
        <v>427</v>
      </c>
      <c r="B200" s="29">
        <v>46080.458333333299</v>
      </c>
      <c r="C200" t="s">
        <v>100</v>
      </c>
      <c r="D200" t="s">
        <v>75</v>
      </c>
      <c r="E200" t="s">
        <v>76</v>
      </c>
      <c r="F200" s="34" t="s">
        <v>428</v>
      </c>
      <c r="G200" s="30">
        <v>5475</v>
      </c>
      <c r="H200" s="30">
        <v>490</v>
      </c>
      <c r="I200" s="30">
        <v>18</v>
      </c>
      <c r="J200" s="30">
        <v>41</v>
      </c>
      <c r="K200" s="30">
        <v>24</v>
      </c>
      <c r="L200" s="30">
        <f t="shared" si="15"/>
        <v>573</v>
      </c>
      <c r="M200" s="31">
        <f t="shared" si="16"/>
        <v>0.10465753424657534</v>
      </c>
      <c r="N200" s="32">
        <f t="shared" si="17"/>
        <v>11</v>
      </c>
      <c r="O200" t="str">
        <f t="shared" si="18"/>
        <v>Morning (06-11)</v>
      </c>
      <c r="P200" t="str">
        <f t="shared" si="19"/>
        <v>Friday</v>
      </c>
    </row>
    <row r="201" spans="1:16" ht="26.4" x14ac:dyDescent="0.25">
      <c r="A201" t="s">
        <v>429</v>
      </c>
      <c r="B201" s="29">
        <v>45858.208333333299</v>
      </c>
      <c r="C201" t="s">
        <v>74</v>
      </c>
      <c r="D201" t="s">
        <v>85</v>
      </c>
      <c r="E201" t="s">
        <v>91</v>
      </c>
      <c r="F201" s="34" t="s">
        <v>430</v>
      </c>
      <c r="G201" s="30">
        <v>12469</v>
      </c>
      <c r="H201" s="30">
        <v>914</v>
      </c>
      <c r="I201" s="30">
        <v>85</v>
      </c>
      <c r="J201" s="30">
        <v>91</v>
      </c>
      <c r="K201" s="30">
        <v>121</v>
      </c>
      <c r="L201" s="30">
        <f t="shared" si="15"/>
        <v>1211</v>
      </c>
      <c r="M201" s="31">
        <f t="shared" si="16"/>
        <v>9.7120859732135703E-2</v>
      </c>
      <c r="N201" s="32">
        <f t="shared" si="17"/>
        <v>5</v>
      </c>
      <c r="O201" t="str">
        <f t="shared" si="18"/>
        <v>Night (21-05)</v>
      </c>
      <c r="P201" t="str">
        <f t="shared" si="19"/>
        <v>Sunday</v>
      </c>
    </row>
    <row r="202" spans="1:16" x14ac:dyDescent="0.25">
      <c r="A202" t="s">
        <v>431</v>
      </c>
      <c r="B202" s="29">
        <v>45762.291666666701</v>
      </c>
      <c r="C202" t="s">
        <v>74</v>
      </c>
      <c r="D202" t="s">
        <v>85</v>
      </c>
      <c r="E202" t="s">
        <v>115</v>
      </c>
      <c r="F202" s="34" t="s">
        <v>190</v>
      </c>
      <c r="G202" s="30">
        <v>8328</v>
      </c>
      <c r="H202" s="30">
        <v>504</v>
      </c>
      <c r="I202" s="30">
        <v>24</v>
      </c>
      <c r="J202" s="30">
        <v>61</v>
      </c>
      <c r="K202" s="30">
        <v>57</v>
      </c>
      <c r="L202" s="30">
        <f t="shared" si="15"/>
        <v>646</v>
      </c>
      <c r="M202" s="31">
        <f t="shared" si="16"/>
        <v>7.7569644572526422E-2</v>
      </c>
      <c r="N202" s="32">
        <f t="shared" si="17"/>
        <v>7</v>
      </c>
      <c r="O202" t="str">
        <f t="shared" si="18"/>
        <v>Morning (06-11)</v>
      </c>
      <c r="P202" t="str">
        <f t="shared" si="19"/>
        <v>Tuesday</v>
      </c>
    </row>
    <row r="203" spans="1:16" x14ac:dyDescent="0.25">
      <c r="A203" t="s">
        <v>432</v>
      </c>
      <c r="B203" s="29">
        <v>45858.875</v>
      </c>
      <c r="C203" t="s">
        <v>74</v>
      </c>
      <c r="D203" t="s">
        <v>128</v>
      </c>
      <c r="E203" t="s">
        <v>81</v>
      </c>
      <c r="F203" s="34" t="s">
        <v>433</v>
      </c>
      <c r="G203" s="30">
        <v>17565</v>
      </c>
      <c r="H203" s="30">
        <v>537</v>
      </c>
      <c r="I203" s="30">
        <v>31</v>
      </c>
      <c r="J203" s="30">
        <v>62</v>
      </c>
      <c r="K203" s="30">
        <v>102</v>
      </c>
      <c r="L203" s="30">
        <f t="shared" si="15"/>
        <v>732</v>
      </c>
      <c r="M203" s="31">
        <f t="shared" si="16"/>
        <v>4.1673783091374893E-2</v>
      </c>
      <c r="N203" s="32">
        <f t="shared" si="17"/>
        <v>21</v>
      </c>
      <c r="O203" t="str">
        <f t="shared" si="18"/>
        <v>Night (21-05)</v>
      </c>
      <c r="P203" t="str">
        <f t="shared" si="19"/>
        <v>Sunday</v>
      </c>
    </row>
    <row r="204" spans="1:16" ht="26.4" x14ac:dyDescent="0.25">
      <c r="A204" t="s">
        <v>434</v>
      </c>
      <c r="B204" s="29">
        <v>45883.916666666701</v>
      </c>
      <c r="C204" t="s">
        <v>74</v>
      </c>
      <c r="D204" t="s">
        <v>75</v>
      </c>
      <c r="E204" t="s">
        <v>76</v>
      </c>
      <c r="F204" s="34" t="s">
        <v>129</v>
      </c>
      <c r="G204" s="30">
        <v>13023</v>
      </c>
      <c r="H204" s="30">
        <v>611</v>
      </c>
      <c r="I204" s="30">
        <v>31</v>
      </c>
      <c r="J204" s="30">
        <v>34</v>
      </c>
      <c r="K204" s="30">
        <v>43</v>
      </c>
      <c r="L204" s="30">
        <f t="shared" si="15"/>
        <v>719</v>
      </c>
      <c r="M204" s="31">
        <f t="shared" si="16"/>
        <v>5.521001305382784E-2</v>
      </c>
      <c r="N204" s="32">
        <f t="shared" si="17"/>
        <v>22</v>
      </c>
      <c r="O204" t="str">
        <f t="shared" si="18"/>
        <v>Night (21-05)</v>
      </c>
      <c r="P204" t="str">
        <f t="shared" si="19"/>
        <v>Thursday</v>
      </c>
    </row>
    <row r="205" spans="1:16" x14ac:dyDescent="0.25">
      <c r="A205" t="s">
        <v>435</v>
      </c>
      <c r="B205" s="29">
        <v>45932.416666666701</v>
      </c>
      <c r="C205" t="s">
        <v>74</v>
      </c>
      <c r="D205" t="s">
        <v>80</v>
      </c>
      <c r="E205" t="s">
        <v>91</v>
      </c>
      <c r="F205" s="34" t="s">
        <v>436</v>
      </c>
      <c r="G205" s="30">
        <v>9065</v>
      </c>
      <c r="H205" s="30">
        <v>286</v>
      </c>
      <c r="I205" s="30">
        <v>15</v>
      </c>
      <c r="J205" s="30">
        <v>7</v>
      </c>
      <c r="K205" s="30">
        <v>52</v>
      </c>
      <c r="L205" s="30">
        <f t="shared" si="15"/>
        <v>360</v>
      </c>
      <c r="M205" s="31">
        <f t="shared" si="16"/>
        <v>3.9713182570325425E-2</v>
      </c>
      <c r="N205" s="32">
        <f t="shared" si="17"/>
        <v>10</v>
      </c>
      <c r="O205" t="str">
        <f t="shared" si="18"/>
        <v>Morning (06-11)</v>
      </c>
      <c r="P205" t="str">
        <f t="shared" si="19"/>
        <v>Thursday</v>
      </c>
    </row>
    <row r="206" spans="1:16" ht="26.4" x14ac:dyDescent="0.25">
      <c r="A206" t="s">
        <v>437</v>
      </c>
      <c r="B206" s="29">
        <v>45864.291666666701</v>
      </c>
      <c r="C206" t="s">
        <v>100</v>
      </c>
      <c r="D206" t="s">
        <v>128</v>
      </c>
      <c r="E206" t="s">
        <v>94</v>
      </c>
      <c r="F206" s="34" t="s">
        <v>438</v>
      </c>
      <c r="G206" s="30">
        <v>11977</v>
      </c>
      <c r="H206" s="30">
        <v>670</v>
      </c>
      <c r="I206" s="30">
        <v>38</v>
      </c>
      <c r="J206" s="30">
        <v>80</v>
      </c>
      <c r="K206" s="30">
        <v>62</v>
      </c>
      <c r="L206" s="30">
        <f t="shared" si="15"/>
        <v>850</v>
      </c>
      <c r="M206" s="31">
        <f t="shared" si="16"/>
        <v>7.0969357936044086E-2</v>
      </c>
      <c r="N206" s="32">
        <f t="shared" si="17"/>
        <v>7</v>
      </c>
      <c r="O206" t="str">
        <f t="shared" si="18"/>
        <v>Morning (06-11)</v>
      </c>
      <c r="P206" t="str">
        <f t="shared" si="19"/>
        <v>Saturday</v>
      </c>
    </row>
    <row r="207" spans="1:16" x14ac:dyDescent="0.25">
      <c r="A207" t="s">
        <v>439</v>
      </c>
      <c r="B207" s="29">
        <v>45781.125</v>
      </c>
      <c r="C207" t="s">
        <v>74</v>
      </c>
      <c r="D207" t="s">
        <v>75</v>
      </c>
      <c r="E207" t="s">
        <v>91</v>
      </c>
      <c r="F207" s="34" t="s">
        <v>335</v>
      </c>
      <c r="G207" s="30">
        <v>4923</v>
      </c>
      <c r="H207" s="30">
        <v>270</v>
      </c>
      <c r="I207" s="30">
        <v>8</v>
      </c>
      <c r="J207" s="30">
        <v>19</v>
      </c>
      <c r="K207" s="30">
        <v>9</v>
      </c>
      <c r="L207" s="30">
        <f t="shared" si="15"/>
        <v>306</v>
      </c>
      <c r="M207" s="31">
        <f t="shared" si="16"/>
        <v>6.2157221206581355E-2</v>
      </c>
      <c r="N207" s="32">
        <f t="shared" si="17"/>
        <v>3</v>
      </c>
      <c r="O207" t="str">
        <f t="shared" si="18"/>
        <v>Night (21-05)</v>
      </c>
      <c r="P207" t="str">
        <f t="shared" si="19"/>
        <v>Sunday</v>
      </c>
    </row>
    <row r="208" spans="1:16" x14ac:dyDescent="0.25">
      <c r="A208" t="s">
        <v>440</v>
      </c>
      <c r="B208" s="29">
        <v>45960.958333333299</v>
      </c>
      <c r="C208" t="s">
        <v>84</v>
      </c>
      <c r="D208" t="s">
        <v>128</v>
      </c>
      <c r="E208" t="s">
        <v>111</v>
      </c>
      <c r="F208" s="34" t="s">
        <v>441</v>
      </c>
      <c r="G208" s="30">
        <v>10772</v>
      </c>
      <c r="H208" s="30">
        <v>958</v>
      </c>
      <c r="I208" s="30">
        <v>83</v>
      </c>
      <c r="J208" s="30">
        <v>39</v>
      </c>
      <c r="K208" s="30">
        <v>15</v>
      </c>
      <c r="L208" s="30">
        <f t="shared" si="15"/>
        <v>1095</v>
      </c>
      <c r="M208" s="31">
        <f t="shared" si="16"/>
        <v>0.10165243223171185</v>
      </c>
      <c r="N208" s="32">
        <f t="shared" si="17"/>
        <v>23</v>
      </c>
      <c r="O208" t="str">
        <f t="shared" si="18"/>
        <v>Night (21-05)</v>
      </c>
      <c r="P208" t="str">
        <f t="shared" si="19"/>
        <v>Thursday</v>
      </c>
    </row>
    <row r="209" spans="1:16" x14ac:dyDescent="0.25">
      <c r="A209" t="s">
        <v>442</v>
      </c>
      <c r="B209" s="29">
        <v>45872.083333333299</v>
      </c>
      <c r="C209" t="s">
        <v>79</v>
      </c>
      <c r="D209" t="s">
        <v>75</v>
      </c>
      <c r="E209" t="s">
        <v>91</v>
      </c>
      <c r="F209" s="34" t="s">
        <v>195</v>
      </c>
      <c r="G209" s="30">
        <v>6370</v>
      </c>
      <c r="H209" s="30">
        <v>355</v>
      </c>
      <c r="I209" s="30">
        <v>33</v>
      </c>
      <c r="J209" s="30">
        <v>46</v>
      </c>
      <c r="K209" s="30">
        <v>27</v>
      </c>
      <c r="L209" s="30">
        <f t="shared" si="15"/>
        <v>461</v>
      </c>
      <c r="M209" s="31">
        <f t="shared" si="16"/>
        <v>7.2370486656200939E-2</v>
      </c>
      <c r="N209" s="32">
        <f t="shared" si="17"/>
        <v>2</v>
      </c>
      <c r="O209" t="str">
        <f t="shared" si="18"/>
        <v>Night (21-05)</v>
      </c>
      <c r="P209" t="str">
        <f t="shared" si="19"/>
        <v>Sunday</v>
      </c>
    </row>
    <row r="210" spans="1:16" x14ac:dyDescent="0.25">
      <c r="A210" t="s">
        <v>443</v>
      </c>
      <c r="B210" s="29">
        <v>46098.166666666701</v>
      </c>
      <c r="C210" t="s">
        <v>74</v>
      </c>
      <c r="D210" t="s">
        <v>80</v>
      </c>
      <c r="E210" t="s">
        <v>88</v>
      </c>
      <c r="F210" s="34" t="s">
        <v>86</v>
      </c>
      <c r="G210" s="30">
        <v>25492</v>
      </c>
      <c r="H210" s="30">
        <v>1820</v>
      </c>
      <c r="I210" s="30">
        <v>124</v>
      </c>
      <c r="J210" s="30">
        <v>51</v>
      </c>
      <c r="K210" s="30">
        <v>165</v>
      </c>
      <c r="L210" s="30">
        <f t="shared" si="15"/>
        <v>2160</v>
      </c>
      <c r="M210" s="31">
        <f t="shared" si="16"/>
        <v>8.4732465087086151E-2</v>
      </c>
      <c r="N210" s="32">
        <f t="shared" si="17"/>
        <v>4</v>
      </c>
      <c r="O210" t="str">
        <f t="shared" si="18"/>
        <v>Night (21-05)</v>
      </c>
      <c r="P210" t="str">
        <f t="shared" si="19"/>
        <v>Tuesday</v>
      </c>
    </row>
    <row r="211" spans="1:16" x14ac:dyDescent="0.25">
      <c r="A211" t="s">
        <v>444</v>
      </c>
      <c r="B211" s="29">
        <v>45863.875</v>
      </c>
      <c r="C211" t="s">
        <v>84</v>
      </c>
      <c r="D211" t="s">
        <v>80</v>
      </c>
      <c r="E211" t="s">
        <v>88</v>
      </c>
      <c r="F211" s="34" t="s">
        <v>445</v>
      </c>
      <c r="G211" s="30">
        <v>34082</v>
      </c>
      <c r="H211" s="30">
        <v>1928</v>
      </c>
      <c r="I211" s="30">
        <v>170</v>
      </c>
      <c r="J211" s="30">
        <v>166</v>
      </c>
      <c r="K211" s="30">
        <v>100</v>
      </c>
      <c r="L211" s="30">
        <f t="shared" si="15"/>
        <v>2364</v>
      </c>
      <c r="M211" s="31">
        <f t="shared" si="16"/>
        <v>6.9362126635760815E-2</v>
      </c>
      <c r="N211" s="32">
        <f t="shared" si="17"/>
        <v>21</v>
      </c>
      <c r="O211" t="str">
        <f t="shared" si="18"/>
        <v>Night (21-05)</v>
      </c>
      <c r="P211" t="str">
        <f t="shared" si="19"/>
        <v>Friday</v>
      </c>
    </row>
    <row r="212" spans="1:16" x14ac:dyDescent="0.25">
      <c r="A212" t="s">
        <v>446</v>
      </c>
      <c r="B212" s="29">
        <v>46029.75</v>
      </c>
      <c r="C212" t="s">
        <v>84</v>
      </c>
      <c r="D212" t="s">
        <v>80</v>
      </c>
      <c r="E212" t="s">
        <v>115</v>
      </c>
      <c r="F212" s="34" t="s">
        <v>447</v>
      </c>
      <c r="G212" s="30">
        <v>23891</v>
      </c>
      <c r="H212" s="30">
        <v>1746</v>
      </c>
      <c r="I212" s="30">
        <v>112</v>
      </c>
      <c r="J212" s="30">
        <v>107</v>
      </c>
      <c r="K212" s="30">
        <v>191</v>
      </c>
      <c r="L212" s="30">
        <f t="shared" si="15"/>
        <v>2156</v>
      </c>
      <c r="M212" s="31">
        <f t="shared" si="16"/>
        <v>9.0243187811309702E-2</v>
      </c>
      <c r="N212" s="32">
        <f t="shared" si="17"/>
        <v>18</v>
      </c>
      <c r="O212" t="str">
        <f t="shared" si="18"/>
        <v>Evening (17-20)</v>
      </c>
      <c r="P212" t="str">
        <f t="shared" si="19"/>
        <v>Wednesday</v>
      </c>
    </row>
    <row r="213" spans="1:16" x14ac:dyDescent="0.25">
      <c r="A213" t="s">
        <v>448</v>
      </c>
      <c r="B213" s="29">
        <v>45777.458333333299</v>
      </c>
      <c r="C213" t="s">
        <v>74</v>
      </c>
      <c r="D213" t="s">
        <v>97</v>
      </c>
      <c r="E213" t="s">
        <v>81</v>
      </c>
      <c r="F213" s="34" t="s">
        <v>201</v>
      </c>
      <c r="G213" s="30">
        <v>6801</v>
      </c>
      <c r="H213" s="30">
        <v>527</v>
      </c>
      <c r="I213" s="30">
        <v>47</v>
      </c>
      <c r="J213" s="30">
        <v>9</v>
      </c>
      <c r="K213" s="30">
        <v>59</v>
      </c>
      <c r="L213" s="30">
        <f t="shared" si="15"/>
        <v>642</v>
      </c>
      <c r="M213" s="31">
        <f t="shared" si="16"/>
        <v>9.4397882664314078E-2</v>
      </c>
      <c r="N213" s="32">
        <f t="shared" si="17"/>
        <v>11</v>
      </c>
      <c r="O213" t="str">
        <f t="shared" si="18"/>
        <v>Morning (06-11)</v>
      </c>
      <c r="P213" t="str">
        <f t="shared" si="19"/>
        <v>Wednesday</v>
      </c>
    </row>
    <row r="214" spans="1:16" x14ac:dyDescent="0.25">
      <c r="A214" t="s">
        <v>449</v>
      </c>
      <c r="B214" s="29">
        <v>45793.666666666701</v>
      </c>
      <c r="C214" t="s">
        <v>74</v>
      </c>
      <c r="D214" t="s">
        <v>85</v>
      </c>
      <c r="E214" t="s">
        <v>91</v>
      </c>
      <c r="F214" s="34" t="s">
        <v>343</v>
      </c>
      <c r="G214" s="30">
        <v>7778</v>
      </c>
      <c r="H214" s="30">
        <v>532</v>
      </c>
      <c r="I214" s="30">
        <v>34</v>
      </c>
      <c r="J214" s="30">
        <v>15</v>
      </c>
      <c r="K214" s="30">
        <v>11</v>
      </c>
      <c r="L214" s="30">
        <f t="shared" si="15"/>
        <v>592</v>
      </c>
      <c r="M214" s="31">
        <f t="shared" si="16"/>
        <v>7.6112111082540498E-2</v>
      </c>
      <c r="N214" s="32">
        <f t="shared" si="17"/>
        <v>16</v>
      </c>
      <c r="O214" t="str">
        <f t="shared" si="18"/>
        <v>Afternoon (12-16)</v>
      </c>
      <c r="P214" t="str">
        <f t="shared" si="19"/>
        <v>Friday</v>
      </c>
    </row>
    <row r="215" spans="1:16" x14ac:dyDescent="0.25">
      <c r="A215" t="s">
        <v>450</v>
      </c>
      <c r="B215" s="29">
        <v>45894.75</v>
      </c>
      <c r="C215" t="s">
        <v>100</v>
      </c>
      <c r="D215" t="s">
        <v>75</v>
      </c>
      <c r="E215" t="s">
        <v>111</v>
      </c>
      <c r="F215" s="34" t="s">
        <v>451</v>
      </c>
      <c r="G215" s="30">
        <v>52152</v>
      </c>
      <c r="H215" s="30">
        <v>2229</v>
      </c>
      <c r="I215" s="30">
        <v>93</v>
      </c>
      <c r="J215" s="30">
        <v>22</v>
      </c>
      <c r="K215" s="30">
        <v>106</v>
      </c>
      <c r="L215" s="30">
        <f t="shared" si="15"/>
        <v>2450</v>
      </c>
      <c r="M215" s="31">
        <f t="shared" si="16"/>
        <v>4.6978064120263847E-2</v>
      </c>
      <c r="N215" s="32">
        <f t="shared" si="17"/>
        <v>18</v>
      </c>
      <c r="O215" t="str">
        <f t="shared" si="18"/>
        <v>Evening (17-20)</v>
      </c>
      <c r="P215" t="str">
        <f t="shared" si="19"/>
        <v>Monday</v>
      </c>
    </row>
    <row r="216" spans="1:16" ht="26.4" x14ac:dyDescent="0.25">
      <c r="A216" t="s">
        <v>452</v>
      </c>
      <c r="B216" s="29">
        <v>45960.541666666701</v>
      </c>
      <c r="C216" t="s">
        <v>84</v>
      </c>
      <c r="D216" t="s">
        <v>75</v>
      </c>
      <c r="E216" t="s">
        <v>88</v>
      </c>
      <c r="F216" s="34" t="s">
        <v>188</v>
      </c>
      <c r="G216" s="30">
        <v>9238</v>
      </c>
      <c r="H216" s="30">
        <v>407</v>
      </c>
      <c r="I216" s="30">
        <v>22</v>
      </c>
      <c r="J216" s="30">
        <v>26</v>
      </c>
      <c r="K216" s="30">
        <v>29</v>
      </c>
      <c r="L216" s="30">
        <f t="shared" si="15"/>
        <v>484</v>
      </c>
      <c r="M216" s="31">
        <f t="shared" si="16"/>
        <v>5.2392292704048493E-2</v>
      </c>
      <c r="N216" s="32">
        <f t="shared" si="17"/>
        <v>13</v>
      </c>
      <c r="O216" t="str">
        <f t="shared" si="18"/>
        <v>Afternoon (12-16)</v>
      </c>
      <c r="P216" t="str">
        <f t="shared" si="19"/>
        <v>Thursday</v>
      </c>
    </row>
    <row r="217" spans="1:16" x14ac:dyDescent="0.25">
      <c r="A217" t="s">
        <v>453</v>
      </c>
      <c r="B217" s="29">
        <v>45913.166666666701</v>
      </c>
      <c r="C217" t="s">
        <v>79</v>
      </c>
      <c r="D217" t="s">
        <v>85</v>
      </c>
      <c r="E217" t="s">
        <v>88</v>
      </c>
      <c r="F217" s="34" t="s">
        <v>454</v>
      </c>
      <c r="G217" s="30">
        <v>6089</v>
      </c>
      <c r="H217" s="30">
        <v>244</v>
      </c>
      <c r="I217" s="30">
        <v>21</v>
      </c>
      <c r="J217" s="30">
        <v>19</v>
      </c>
      <c r="K217" s="30">
        <v>23</v>
      </c>
      <c r="L217" s="30">
        <f t="shared" si="15"/>
        <v>307</v>
      </c>
      <c r="M217" s="31">
        <f t="shared" si="16"/>
        <v>5.0418787978321562E-2</v>
      </c>
      <c r="N217" s="32">
        <f t="shared" si="17"/>
        <v>4</v>
      </c>
      <c r="O217" t="str">
        <f t="shared" si="18"/>
        <v>Night (21-05)</v>
      </c>
      <c r="P217" t="str">
        <f t="shared" si="19"/>
        <v>Saturday</v>
      </c>
    </row>
    <row r="218" spans="1:16" ht="26.4" x14ac:dyDescent="0.25">
      <c r="A218" t="s">
        <v>455</v>
      </c>
      <c r="B218" s="29">
        <v>45936.541666666701</v>
      </c>
      <c r="C218" t="s">
        <v>74</v>
      </c>
      <c r="D218" t="s">
        <v>128</v>
      </c>
      <c r="E218" t="s">
        <v>94</v>
      </c>
      <c r="F218" s="34" t="s">
        <v>456</v>
      </c>
      <c r="G218" s="30">
        <v>24204</v>
      </c>
      <c r="H218" s="30">
        <v>1661</v>
      </c>
      <c r="I218" s="30">
        <v>89</v>
      </c>
      <c r="J218" s="30">
        <v>90</v>
      </c>
      <c r="K218" s="30">
        <v>199</v>
      </c>
      <c r="L218" s="30">
        <f t="shared" si="15"/>
        <v>2039</v>
      </c>
      <c r="M218" s="31">
        <f t="shared" si="16"/>
        <v>8.4242274004296805E-2</v>
      </c>
      <c r="N218" s="32">
        <f t="shared" si="17"/>
        <v>13</v>
      </c>
      <c r="O218" t="str">
        <f t="shared" si="18"/>
        <v>Afternoon (12-16)</v>
      </c>
      <c r="P218" t="str">
        <f t="shared" si="19"/>
        <v>Monday</v>
      </c>
    </row>
    <row r="219" spans="1:16" x14ac:dyDescent="0.25">
      <c r="A219" t="s">
        <v>457</v>
      </c>
      <c r="B219" s="29">
        <v>46024.666666666701</v>
      </c>
      <c r="C219" t="s">
        <v>100</v>
      </c>
      <c r="D219" t="s">
        <v>128</v>
      </c>
      <c r="E219" t="s">
        <v>131</v>
      </c>
      <c r="F219" s="34" t="s">
        <v>458</v>
      </c>
      <c r="G219" s="30">
        <v>11630</v>
      </c>
      <c r="H219" s="30">
        <v>715</v>
      </c>
      <c r="I219" s="30">
        <v>14</v>
      </c>
      <c r="J219" s="30">
        <v>31</v>
      </c>
      <c r="K219" s="30">
        <v>25</v>
      </c>
      <c r="L219" s="30">
        <f t="shared" si="15"/>
        <v>785</v>
      </c>
      <c r="M219" s="31">
        <f t="shared" si="16"/>
        <v>6.7497850386930347E-2</v>
      </c>
      <c r="N219" s="32">
        <f t="shared" si="17"/>
        <v>16</v>
      </c>
      <c r="O219" t="str">
        <f t="shared" si="18"/>
        <v>Afternoon (12-16)</v>
      </c>
      <c r="P219" t="str">
        <f t="shared" si="19"/>
        <v>Friday</v>
      </c>
    </row>
    <row r="220" spans="1:16" x14ac:dyDescent="0.25">
      <c r="A220" t="s">
        <v>459</v>
      </c>
      <c r="B220" s="29">
        <v>45916.916666666701</v>
      </c>
      <c r="C220" t="s">
        <v>79</v>
      </c>
      <c r="D220" t="s">
        <v>97</v>
      </c>
      <c r="E220" t="s">
        <v>81</v>
      </c>
      <c r="F220" s="34" t="s">
        <v>259</v>
      </c>
      <c r="G220" s="30">
        <v>4024</v>
      </c>
      <c r="H220" s="30">
        <v>220</v>
      </c>
      <c r="I220" s="30">
        <v>14</v>
      </c>
      <c r="J220" s="30">
        <v>29</v>
      </c>
      <c r="K220" s="30">
        <v>34</v>
      </c>
      <c r="L220" s="30">
        <f t="shared" si="15"/>
        <v>297</v>
      </c>
      <c r="M220" s="31">
        <f t="shared" si="16"/>
        <v>7.3807157057654074E-2</v>
      </c>
      <c r="N220" s="32">
        <f t="shared" si="17"/>
        <v>22</v>
      </c>
      <c r="O220" t="str">
        <f t="shared" si="18"/>
        <v>Night (21-05)</v>
      </c>
      <c r="P220" t="str">
        <f t="shared" si="19"/>
        <v>Tuesday</v>
      </c>
    </row>
    <row r="221" spans="1:16" x14ac:dyDescent="0.25">
      <c r="A221" t="s">
        <v>460</v>
      </c>
      <c r="B221" s="29">
        <v>45834.708333333299</v>
      </c>
      <c r="C221" t="s">
        <v>100</v>
      </c>
      <c r="D221" t="s">
        <v>80</v>
      </c>
      <c r="E221" t="s">
        <v>88</v>
      </c>
      <c r="F221" s="34" t="s">
        <v>461</v>
      </c>
      <c r="G221" s="30">
        <v>24394</v>
      </c>
      <c r="H221" s="30">
        <v>1916</v>
      </c>
      <c r="I221" s="30">
        <v>173</v>
      </c>
      <c r="J221" s="30">
        <v>227</v>
      </c>
      <c r="K221" s="30">
        <v>185</v>
      </c>
      <c r="L221" s="30">
        <f t="shared" si="15"/>
        <v>2501</v>
      </c>
      <c r="M221" s="31">
        <f t="shared" si="16"/>
        <v>0.10252521111748791</v>
      </c>
      <c r="N221" s="32">
        <f t="shared" si="17"/>
        <v>17</v>
      </c>
      <c r="O221" t="str">
        <f t="shared" si="18"/>
        <v>Evening (17-20)</v>
      </c>
      <c r="P221" t="str">
        <f t="shared" si="19"/>
        <v>Thursday</v>
      </c>
    </row>
    <row r="222" spans="1:16" ht="26.4" x14ac:dyDescent="0.25">
      <c r="A222" t="s">
        <v>462</v>
      </c>
      <c r="B222" s="29">
        <v>45842.458333333299</v>
      </c>
      <c r="C222" t="s">
        <v>84</v>
      </c>
      <c r="D222" t="s">
        <v>80</v>
      </c>
      <c r="E222" t="s">
        <v>91</v>
      </c>
      <c r="F222" s="34" t="s">
        <v>463</v>
      </c>
      <c r="G222" s="30">
        <v>10957</v>
      </c>
      <c r="H222" s="30">
        <v>380</v>
      </c>
      <c r="I222" s="30">
        <v>10</v>
      </c>
      <c r="J222" s="30">
        <v>36</v>
      </c>
      <c r="K222" s="30">
        <v>89</v>
      </c>
      <c r="L222" s="30">
        <f t="shared" si="15"/>
        <v>515</v>
      </c>
      <c r="M222" s="31">
        <f t="shared" si="16"/>
        <v>4.7001916583006301E-2</v>
      </c>
      <c r="N222" s="32">
        <f t="shared" si="17"/>
        <v>11</v>
      </c>
      <c r="O222" t="str">
        <f t="shared" si="18"/>
        <v>Morning (06-11)</v>
      </c>
      <c r="P222" t="str">
        <f t="shared" si="19"/>
        <v>Friday</v>
      </c>
    </row>
    <row r="223" spans="1:16" x14ac:dyDescent="0.25">
      <c r="A223" t="s">
        <v>464</v>
      </c>
      <c r="B223" s="29">
        <v>45908.375</v>
      </c>
      <c r="C223" t="s">
        <v>79</v>
      </c>
      <c r="D223" t="s">
        <v>128</v>
      </c>
      <c r="E223" t="s">
        <v>76</v>
      </c>
      <c r="F223" s="34" t="s">
        <v>465</v>
      </c>
      <c r="G223" s="30">
        <v>1867</v>
      </c>
      <c r="H223" s="30">
        <v>102</v>
      </c>
      <c r="I223" s="30">
        <v>3</v>
      </c>
      <c r="J223" s="30">
        <v>13</v>
      </c>
      <c r="K223" s="30">
        <v>5</v>
      </c>
      <c r="L223" s="30">
        <f t="shared" si="15"/>
        <v>123</v>
      </c>
      <c r="M223" s="31">
        <f t="shared" si="16"/>
        <v>6.5881092662024632E-2</v>
      </c>
      <c r="N223" s="32">
        <f t="shared" si="17"/>
        <v>9</v>
      </c>
      <c r="O223" t="str">
        <f t="shared" si="18"/>
        <v>Morning (06-11)</v>
      </c>
      <c r="P223" t="str">
        <f t="shared" si="19"/>
        <v>Monday</v>
      </c>
    </row>
    <row r="224" spans="1:16" x14ac:dyDescent="0.25">
      <c r="A224" t="s">
        <v>466</v>
      </c>
      <c r="B224" s="29">
        <v>45845.5</v>
      </c>
      <c r="C224" t="s">
        <v>79</v>
      </c>
      <c r="D224" t="s">
        <v>80</v>
      </c>
      <c r="E224" t="s">
        <v>94</v>
      </c>
      <c r="F224" s="34" t="s">
        <v>467</v>
      </c>
      <c r="G224" s="30">
        <v>15973</v>
      </c>
      <c r="H224" s="30">
        <v>873</v>
      </c>
      <c r="I224" s="30">
        <v>23</v>
      </c>
      <c r="J224" s="30">
        <v>29</v>
      </c>
      <c r="K224" s="30">
        <v>95</v>
      </c>
      <c r="L224" s="30">
        <f t="shared" si="15"/>
        <v>1020</v>
      </c>
      <c r="M224" s="31">
        <f t="shared" si="16"/>
        <v>6.3857759969949288E-2</v>
      </c>
      <c r="N224" s="32">
        <f t="shared" si="17"/>
        <v>12</v>
      </c>
      <c r="O224" t="str">
        <f t="shared" si="18"/>
        <v>Afternoon (12-16)</v>
      </c>
      <c r="P224" t="str">
        <f t="shared" si="19"/>
        <v>Monday</v>
      </c>
    </row>
    <row r="225" spans="1:16" ht="26.4" x14ac:dyDescent="0.25">
      <c r="A225" t="s">
        <v>468</v>
      </c>
      <c r="B225" s="29">
        <v>45857.583333333299</v>
      </c>
      <c r="C225" t="s">
        <v>79</v>
      </c>
      <c r="D225" t="s">
        <v>75</v>
      </c>
      <c r="E225" t="s">
        <v>94</v>
      </c>
      <c r="F225" s="34" t="s">
        <v>188</v>
      </c>
      <c r="G225" s="30">
        <v>12482</v>
      </c>
      <c r="H225" s="30">
        <v>1104</v>
      </c>
      <c r="I225" s="30">
        <v>77</v>
      </c>
      <c r="J225" s="30">
        <v>147</v>
      </c>
      <c r="K225" s="30">
        <v>46</v>
      </c>
      <c r="L225" s="30">
        <f t="shared" si="15"/>
        <v>1374</v>
      </c>
      <c r="M225" s="31">
        <f t="shared" si="16"/>
        <v>0.11007851305880467</v>
      </c>
      <c r="N225" s="32">
        <f t="shared" si="17"/>
        <v>14</v>
      </c>
      <c r="O225" t="str">
        <f t="shared" si="18"/>
        <v>Afternoon (12-16)</v>
      </c>
      <c r="P225" t="str">
        <f t="shared" si="19"/>
        <v>Saturday</v>
      </c>
    </row>
    <row r="226" spans="1:16" x14ac:dyDescent="0.25">
      <c r="A226" t="s">
        <v>469</v>
      </c>
      <c r="B226" s="29">
        <v>46070.083333333299</v>
      </c>
      <c r="C226" t="s">
        <v>74</v>
      </c>
      <c r="D226" t="s">
        <v>75</v>
      </c>
      <c r="E226" t="s">
        <v>115</v>
      </c>
      <c r="F226" s="34" t="s">
        <v>388</v>
      </c>
      <c r="G226" s="30">
        <v>5162</v>
      </c>
      <c r="H226" s="30">
        <v>429</v>
      </c>
      <c r="I226" s="30">
        <v>34</v>
      </c>
      <c r="J226" s="30">
        <v>23</v>
      </c>
      <c r="K226" s="30">
        <v>22</v>
      </c>
      <c r="L226" s="30">
        <f t="shared" si="15"/>
        <v>508</v>
      </c>
      <c r="M226" s="31">
        <f t="shared" si="16"/>
        <v>9.8411468423091827E-2</v>
      </c>
      <c r="N226" s="32">
        <f t="shared" si="17"/>
        <v>2</v>
      </c>
      <c r="O226" t="str">
        <f t="shared" si="18"/>
        <v>Night (21-05)</v>
      </c>
      <c r="P226" t="str">
        <f t="shared" si="19"/>
        <v>Tuesday</v>
      </c>
    </row>
    <row r="227" spans="1:16" x14ac:dyDescent="0.25">
      <c r="A227" t="s">
        <v>470</v>
      </c>
      <c r="B227" s="29">
        <v>45819.75</v>
      </c>
      <c r="C227" t="s">
        <v>74</v>
      </c>
      <c r="D227" t="s">
        <v>128</v>
      </c>
      <c r="E227" t="s">
        <v>111</v>
      </c>
      <c r="F227" s="34" t="s">
        <v>471</v>
      </c>
      <c r="G227" s="30">
        <v>13954</v>
      </c>
      <c r="H227" s="30">
        <v>1209</v>
      </c>
      <c r="I227" s="30">
        <v>50</v>
      </c>
      <c r="J227" s="30">
        <v>43</v>
      </c>
      <c r="K227" s="30">
        <v>128</v>
      </c>
      <c r="L227" s="30">
        <f t="shared" si="15"/>
        <v>1430</v>
      </c>
      <c r="M227" s="31">
        <f t="shared" si="16"/>
        <v>0.1024795757488892</v>
      </c>
      <c r="N227" s="32">
        <f t="shared" si="17"/>
        <v>18</v>
      </c>
      <c r="O227" t="str">
        <f t="shared" si="18"/>
        <v>Evening (17-20)</v>
      </c>
      <c r="P227" t="str">
        <f t="shared" si="19"/>
        <v>Wednesday</v>
      </c>
    </row>
    <row r="228" spans="1:16" x14ac:dyDescent="0.25">
      <c r="A228" t="s">
        <v>472</v>
      </c>
      <c r="B228" s="29">
        <v>45896.75</v>
      </c>
      <c r="C228" t="s">
        <v>74</v>
      </c>
      <c r="D228" t="s">
        <v>85</v>
      </c>
      <c r="E228" t="s">
        <v>91</v>
      </c>
      <c r="F228" s="34" t="s">
        <v>473</v>
      </c>
      <c r="G228" s="30">
        <v>5427</v>
      </c>
      <c r="H228" s="30">
        <v>469</v>
      </c>
      <c r="I228" s="30">
        <v>10</v>
      </c>
      <c r="J228" s="30">
        <v>9</v>
      </c>
      <c r="K228" s="30">
        <v>10</v>
      </c>
      <c r="L228" s="30">
        <f t="shared" si="15"/>
        <v>498</v>
      </c>
      <c r="M228" s="31">
        <f t="shared" si="16"/>
        <v>9.1763405196241016E-2</v>
      </c>
      <c r="N228" s="32">
        <f t="shared" si="17"/>
        <v>18</v>
      </c>
      <c r="O228" t="str">
        <f t="shared" si="18"/>
        <v>Evening (17-20)</v>
      </c>
      <c r="P228" t="str">
        <f t="shared" si="19"/>
        <v>Wednesday</v>
      </c>
    </row>
    <row r="229" spans="1:16" x14ac:dyDescent="0.25">
      <c r="A229" t="s">
        <v>474</v>
      </c>
      <c r="B229" s="29">
        <v>46054.375</v>
      </c>
      <c r="C229" t="s">
        <v>74</v>
      </c>
      <c r="D229" t="s">
        <v>97</v>
      </c>
      <c r="E229" t="s">
        <v>94</v>
      </c>
      <c r="F229" s="34" t="s">
        <v>379</v>
      </c>
      <c r="G229" s="30">
        <v>3898</v>
      </c>
      <c r="H229" s="30">
        <v>127</v>
      </c>
      <c r="I229" s="30">
        <v>10</v>
      </c>
      <c r="J229" s="30">
        <v>3</v>
      </c>
      <c r="K229" s="30">
        <v>8</v>
      </c>
      <c r="L229" s="30">
        <f t="shared" si="15"/>
        <v>148</v>
      </c>
      <c r="M229" s="31">
        <f t="shared" si="16"/>
        <v>3.7968188814776808E-2</v>
      </c>
      <c r="N229" s="32">
        <f t="shared" si="17"/>
        <v>9</v>
      </c>
      <c r="O229" t="str">
        <f t="shared" si="18"/>
        <v>Morning (06-11)</v>
      </c>
      <c r="P229" t="str">
        <f t="shared" si="19"/>
        <v>Sunday</v>
      </c>
    </row>
    <row r="230" spans="1:16" x14ac:dyDescent="0.25">
      <c r="A230" t="s">
        <v>475</v>
      </c>
      <c r="B230" s="29">
        <v>46000.583333333299</v>
      </c>
      <c r="C230" t="s">
        <v>74</v>
      </c>
      <c r="D230" t="s">
        <v>75</v>
      </c>
      <c r="E230" t="s">
        <v>88</v>
      </c>
      <c r="F230" s="34" t="s">
        <v>301</v>
      </c>
      <c r="G230" s="30">
        <v>14545</v>
      </c>
      <c r="H230" s="30">
        <v>1305</v>
      </c>
      <c r="I230" s="30">
        <v>68</v>
      </c>
      <c r="J230" s="30">
        <v>79</v>
      </c>
      <c r="K230" s="30">
        <v>27</v>
      </c>
      <c r="L230" s="30">
        <f t="shared" si="15"/>
        <v>1479</v>
      </c>
      <c r="M230" s="31">
        <f t="shared" si="16"/>
        <v>0.1016844276383637</v>
      </c>
      <c r="N230" s="32">
        <f t="shared" si="17"/>
        <v>14</v>
      </c>
      <c r="O230" t="str">
        <f t="shared" si="18"/>
        <v>Afternoon (12-16)</v>
      </c>
      <c r="P230" t="str">
        <f t="shared" si="19"/>
        <v>Tuesday</v>
      </c>
    </row>
    <row r="231" spans="1:16" x14ac:dyDescent="0.25">
      <c r="A231" t="s">
        <v>476</v>
      </c>
      <c r="B231" s="29">
        <v>45978.291666666701</v>
      </c>
      <c r="C231" t="s">
        <v>79</v>
      </c>
      <c r="D231" t="s">
        <v>80</v>
      </c>
      <c r="E231" t="s">
        <v>88</v>
      </c>
      <c r="F231" s="34" t="s">
        <v>477</v>
      </c>
      <c r="G231" s="30">
        <v>12801</v>
      </c>
      <c r="H231" s="30">
        <v>675</v>
      </c>
      <c r="I231" s="30">
        <v>37</v>
      </c>
      <c r="J231" s="30">
        <v>65</v>
      </c>
      <c r="K231" s="30">
        <v>120</v>
      </c>
      <c r="L231" s="30">
        <f t="shared" si="15"/>
        <v>897</v>
      </c>
      <c r="M231" s="31">
        <f t="shared" si="16"/>
        <v>7.0072650574173889E-2</v>
      </c>
      <c r="N231" s="32">
        <f t="shared" si="17"/>
        <v>7</v>
      </c>
      <c r="O231" t="str">
        <f t="shared" si="18"/>
        <v>Morning (06-11)</v>
      </c>
      <c r="P231" t="str">
        <f t="shared" si="19"/>
        <v>Monday</v>
      </c>
    </row>
    <row r="232" spans="1:16" ht="26.4" x14ac:dyDescent="0.25">
      <c r="A232" t="s">
        <v>478</v>
      </c>
      <c r="B232" s="29">
        <v>46054.083333333299</v>
      </c>
      <c r="C232" t="s">
        <v>79</v>
      </c>
      <c r="D232" t="s">
        <v>128</v>
      </c>
      <c r="E232" t="s">
        <v>131</v>
      </c>
      <c r="F232" s="34" t="s">
        <v>479</v>
      </c>
      <c r="G232" s="30">
        <v>7357</v>
      </c>
      <c r="H232" s="30">
        <v>569</v>
      </c>
      <c r="I232" s="30">
        <v>35</v>
      </c>
      <c r="J232" s="30">
        <v>70</v>
      </c>
      <c r="K232" s="30">
        <v>18</v>
      </c>
      <c r="L232" s="30">
        <f t="shared" si="15"/>
        <v>692</v>
      </c>
      <c r="M232" s="31">
        <f t="shared" si="16"/>
        <v>9.4060078836482264E-2</v>
      </c>
      <c r="N232" s="32">
        <f t="shared" si="17"/>
        <v>2</v>
      </c>
      <c r="O232" t="str">
        <f t="shared" si="18"/>
        <v>Night (21-05)</v>
      </c>
      <c r="P232" t="str">
        <f t="shared" si="19"/>
        <v>Sunday</v>
      </c>
    </row>
    <row r="233" spans="1:16" x14ac:dyDescent="0.25">
      <c r="A233" t="s">
        <v>480</v>
      </c>
      <c r="B233" s="29">
        <v>45958.875</v>
      </c>
      <c r="C233" t="s">
        <v>74</v>
      </c>
      <c r="D233" t="s">
        <v>80</v>
      </c>
      <c r="E233" t="s">
        <v>88</v>
      </c>
      <c r="F233" s="34" t="s">
        <v>293</v>
      </c>
      <c r="G233" s="30">
        <v>24424</v>
      </c>
      <c r="H233" s="30">
        <v>1302</v>
      </c>
      <c r="I233" s="30">
        <v>31</v>
      </c>
      <c r="J233" s="30">
        <v>165</v>
      </c>
      <c r="K233" s="30">
        <v>48</v>
      </c>
      <c r="L233" s="30">
        <f t="shared" si="15"/>
        <v>1546</v>
      </c>
      <c r="M233" s="31">
        <f t="shared" si="16"/>
        <v>6.3298395021290532E-2</v>
      </c>
      <c r="N233" s="32">
        <f t="shared" si="17"/>
        <v>21</v>
      </c>
      <c r="O233" t="str">
        <f t="shared" si="18"/>
        <v>Night (21-05)</v>
      </c>
      <c r="P233" t="str">
        <f t="shared" si="19"/>
        <v>Tuesday</v>
      </c>
    </row>
    <row r="234" spans="1:16" x14ac:dyDescent="0.25">
      <c r="A234" t="s">
        <v>481</v>
      </c>
      <c r="B234" s="29">
        <v>45866.416666666701</v>
      </c>
      <c r="C234" t="s">
        <v>79</v>
      </c>
      <c r="D234" t="s">
        <v>85</v>
      </c>
      <c r="E234" t="s">
        <v>131</v>
      </c>
      <c r="F234" s="34" t="s">
        <v>482</v>
      </c>
      <c r="G234" s="30">
        <v>5716</v>
      </c>
      <c r="H234" s="30">
        <v>331</v>
      </c>
      <c r="I234" s="30">
        <v>14</v>
      </c>
      <c r="J234" s="30">
        <v>33</v>
      </c>
      <c r="K234" s="30">
        <v>50</v>
      </c>
      <c r="L234" s="30">
        <f t="shared" si="15"/>
        <v>428</v>
      </c>
      <c r="M234" s="31">
        <f t="shared" si="16"/>
        <v>7.4877536738978304E-2</v>
      </c>
      <c r="N234" s="32">
        <f t="shared" si="17"/>
        <v>10</v>
      </c>
      <c r="O234" t="str">
        <f t="shared" si="18"/>
        <v>Morning (06-11)</v>
      </c>
      <c r="P234" t="str">
        <f t="shared" si="19"/>
        <v>Monday</v>
      </c>
    </row>
    <row r="235" spans="1:16" ht="26.4" x14ac:dyDescent="0.25">
      <c r="A235" t="s">
        <v>483</v>
      </c>
      <c r="B235" s="29">
        <v>45857.083333333299</v>
      </c>
      <c r="C235" t="s">
        <v>74</v>
      </c>
      <c r="D235" t="s">
        <v>80</v>
      </c>
      <c r="E235" t="s">
        <v>76</v>
      </c>
      <c r="F235" s="34" t="s">
        <v>417</v>
      </c>
      <c r="G235" s="30">
        <v>6718</v>
      </c>
      <c r="H235" s="30">
        <v>278</v>
      </c>
      <c r="I235" s="30">
        <v>12</v>
      </c>
      <c r="J235" s="30">
        <v>6</v>
      </c>
      <c r="K235" s="30">
        <v>51</v>
      </c>
      <c r="L235" s="30">
        <f t="shared" si="15"/>
        <v>347</v>
      </c>
      <c r="M235" s="31">
        <f t="shared" si="16"/>
        <v>5.1652277463530814E-2</v>
      </c>
      <c r="N235" s="32">
        <f t="shared" si="17"/>
        <v>2</v>
      </c>
      <c r="O235" t="str">
        <f t="shared" si="18"/>
        <v>Night (21-05)</v>
      </c>
      <c r="P235" t="str">
        <f t="shared" si="19"/>
        <v>Saturday</v>
      </c>
    </row>
    <row r="236" spans="1:16" ht="26.4" x14ac:dyDescent="0.25">
      <c r="A236" t="s">
        <v>484</v>
      </c>
      <c r="B236" s="29">
        <v>46021.541666666701</v>
      </c>
      <c r="C236" t="s">
        <v>74</v>
      </c>
      <c r="D236" t="s">
        <v>128</v>
      </c>
      <c r="E236" t="s">
        <v>111</v>
      </c>
      <c r="F236" s="34" t="s">
        <v>485</v>
      </c>
      <c r="G236" s="30">
        <v>9474</v>
      </c>
      <c r="H236" s="30">
        <v>372</v>
      </c>
      <c r="I236" s="30">
        <v>34</v>
      </c>
      <c r="J236" s="30">
        <v>4</v>
      </c>
      <c r="K236" s="30">
        <v>26</v>
      </c>
      <c r="L236" s="30">
        <f t="shared" si="15"/>
        <v>436</v>
      </c>
      <c r="M236" s="31">
        <f t="shared" si="16"/>
        <v>4.6020688199282248E-2</v>
      </c>
      <c r="N236" s="32">
        <f t="shared" si="17"/>
        <v>13</v>
      </c>
      <c r="O236" t="str">
        <f t="shared" si="18"/>
        <v>Afternoon (12-16)</v>
      </c>
      <c r="P236" t="str">
        <f t="shared" si="19"/>
        <v>Tuesday</v>
      </c>
    </row>
    <row r="237" spans="1:16" ht="26.4" x14ac:dyDescent="0.25">
      <c r="A237" t="s">
        <v>486</v>
      </c>
      <c r="B237" s="29">
        <v>45837.041666666701</v>
      </c>
      <c r="C237" t="s">
        <v>79</v>
      </c>
      <c r="D237" t="s">
        <v>80</v>
      </c>
      <c r="E237" t="s">
        <v>94</v>
      </c>
      <c r="F237" s="34" t="s">
        <v>428</v>
      </c>
      <c r="G237" s="30">
        <v>8354</v>
      </c>
      <c r="H237" s="30">
        <v>730</v>
      </c>
      <c r="I237" s="30">
        <v>59</v>
      </c>
      <c r="J237" s="30">
        <v>53</v>
      </c>
      <c r="K237" s="30">
        <v>40</v>
      </c>
      <c r="L237" s="30">
        <f t="shared" si="15"/>
        <v>882</v>
      </c>
      <c r="M237" s="31">
        <f t="shared" si="16"/>
        <v>0.10557816614795308</v>
      </c>
      <c r="N237" s="32">
        <f t="shared" si="17"/>
        <v>1</v>
      </c>
      <c r="O237" t="str">
        <f t="shared" si="18"/>
        <v>Night (21-05)</v>
      </c>
      <c r="P237" t="str">
        <f t="shared" si="19"/>
        <v>Sunday</v>
      </c>
    </row>
    <row r="238" spans="1:16" ht="26.4" x14ac:dyDescent="0.25">
      <c r="A238" t="s">
        <v>487</v>
      </c>
      <c r="B238" s="29">
        <v>45843.916666666701</v>
      </c>
      <c r="C238" t="s">
        <v>74</v>
      </c>
      <c r="D238" t="s">
        <v>97</v>
      </c>
      <c r="E238" t="s">
        <v>94</v>
      </c>
      <c r="F238" s="34" t="s">
        <v>251</v>
      </c>
      <c r="G238" s="30">
        <v>18271</v>
      </c>
      <c r="H238" s="30">
        <v>837</v>
      </c>
      <c r="I238" s="30">
        <v>46</v>
      </c>
      <c r="J238" s="30">
        <v>116</v>
      </c>
      <c r="K238" s="30">
        <v>147</v>
      </c>
      <c r="L238" s="30">
        <f t="shared" si="15"/>
        <v>1146</v>
      </c>
      <c r="M238" s="31">
        <f t="shared" si="16"/>
        <v>6.2722346888511846E-2</v>
      </c>
      <c r="N238" s="32">
        <f t="shared" si="17"/>
        <v>22</v>
      </c>
      <c r="O238" t="str">
        <f t="shared" si="18"/>
        <v>Night (21-05)</v>
      </c>
      <c r="P238" t="str">
        <f t="shared" si="19"/>
        <v>Saturday</v>
      </c>
    </row>
    <row r="239" spans="1:16" ht="26.4" x14ac:dyDescent="0.25">
      <c r="A239" t="s">
        <v>488</v>
      </c>
      <c r="B239" s="29">
        <v>45961.875</v>
      </c>
      <c r="C239" t="s">
        <v>74</v>
      </c>
      <c r="D239" t="s">
        <v>85</v>
      </c>
      <c r="E239" t="s">
        <v>81</v>
      </c>
      <c r="F239" s="34" t="s">
        <v>489</v>
      </c>
      <c r="G239" s="30">
        <v>6563</v>
      </c>
      <c r="H239" s="30">
        <v>321</v>
      </c>
      <c r="I239" s="30">
        <v>22</v>
      </c>
      <c r="J239" s="30">
        <v>36</v>
      </c>
      <c r="K239" s="30">
        <v>53</v>
      </c>
      <c r="L239" s="30">
        <f t="shared" si="15"/>
        <v>432</v>
      </c>
      <c r="M239" s="31">
        <f t="shared" si="16"/>
        <v>6.5823556300472347E-2</v>
      </c>
      <c r="N239" s="32">
        <f t="shared" si="17"/>
        <v>21</v>
      </c>
      <c r="O239" t="str">
        <f t="shared" si="18"/>
        <v>Night (21-05)</v>
      </c>
      <c r="P239" t="str">
        <f t="shared" si="19"/>
        <v>Friday</v>
      </c>
    </row>
    <row r="240" spans="1:16" ht="26.4" x14ac:dyDescent="0.25">
      <c r="A240" t="s">
        <v>490</v>
      </c>
      <c r="B240" s="29">
        <v>46084.708333333299</v>
      </c>
      <c r="C240" t="s">
        <v>74</v>
      </c>
      <c r="D240" t="s">
        <v>75</v>
      </c>
      <c r="E240" t="s">
        <v>94</v>
      </c>
      <c r="F240" s="34" t="s">
        <v>406</v>
      </c>
      <c r="G240" s="30">
        <v>20277</v>
      </c>
      <c r="H240" s="30">
        <v>1552</v>
      </c>
      <c r="I240" s="30">
        <v>106</v>
      </c>
      <c r="J240" s="30">
        <v>185</v>
      </c>
      <c r="K240" s="30">
        <v>47</v>
      </c>
      <c r="L240" s="30">
        <f t="shared" si="15"/>
        <v>1890</v>
      </c>
      <c r="M240" s="31">
        <f t="shared" si="16"/>
        <v>9.3209054593874838E-2</v>
      </c>
      <c r="N240" s="32">
        <f t="shared" si="17"/>
        <v>17</v>
      </c>
      <c r="O240" t="str">
        <f t="shared" si="18"/>
        <v>Evening (17-20)</v>
      </c>
      <c r="P240" t="str">
        <f t="shared" si="19"/>
        <v>Tuesday</v>
      </c>
    </row>
    <row r="241" spans="1:16" ht="26.4" x14ac:dyDescent="0.25">
      <c r="A241" t="s">
        <v>491</v>
      </c>
      <c r="B241" s="29">
        <v>46090.25</v>
      </c>
      <c r="C241" t="s">
        <v>74</v>
      </c>
      <c r="D241" t="s">
        <v>75</v>
      </c>
      <c r="E241" t="s">
        <v>91</v>
      </c>
      <c r="F241" s="34" t="s">
        <v>140</v>
      </c>
      <c r="G241" s="30">
        <v>8325</v>
      </c>
      <c r="H241" s="30">
        <v>277</v>
      </c>
      <c r="I241" s="30">
        <v>22</v>
      </c>
      <c r="J241" s="30">
        <v>24</v>
      </c>
      <c r="K241" s="30">
        <v>16</v>
      </c>
      <c r="L241" s="30">
        <f t="shared" si="15"/>
        <v>339</v>
      </c>
      <c r="M241" s="31">
        <f t="shared" si="16"/>
        <v>4.0720720720720721E-2</v>
      </c>
      <c r="N241" s="32">
        <f t="shared" si="17"/>
        <v>6</v>
      </c>
      <c r="O241" t="str">
        <f t="shared" si="18"/>
        <v>Morning (06-11)</v>
      </c>
      <c r="P241" t="str">
        <f t="shared" si="19"/>
        <v>Monday</v>
      </c>
    </row>
    <row r="242" spans="1:16" ht="26.4" x14ac:dyDescent="0.25">
      <c r="A242" t="s">
        <v>492</v>
      </c>
      <c r="B242" s="29">
        <v>46009.916666666701</v>
      </c>
      <c r="C242" t="s">
        <v>74</v>
      </c>
      <c r="D242" t="s">
        <v>80</v>
      </c>
      <c r="E242" t="s">
        <v>88</v>
      </c>
      <c r="F242" s="34" t="s">
        <v>269</v>
      </c>
      <c r="G242" s="30">
        <v>33700</v>
      </c>
      <c r="H242" s="30">
        <v>2181</v>
      </c>
      <c r="I242" s="30">
        <v>69</v>
      </c>
      <c r="J242" s="30">
        <v>240</v>
      </c>
      <c r="K242" s="30">
        <v>82</v>
      </c>
      <c r="L242" s="30">
        <f t="shared" si="15"/>
        <v>2572</v>
      </c>
      <c r="M242" s="31">
        <f t="shared" si="16"/>
        <v>7.6320474777448077E-2</v>
      </c>
      <c r="N242" s="32">
        <f t="shared" si="17"/>
        <v>22</v>
      </c>
      <c r="O242" t="str">
        <f t="shared" si="18"/>
        <v>Night (21-05)</v>
      </c>
      <c r="P242" t="str">
        <f t="shared" si="19"/>
        <v>Thursday</v>
      </c>
    </row>
    <row r="243" spans="1:16" x14ac:dyDescent="0.25">
      <c r="A243" t="s">
        <v>493</v>
      </c>
      <c r="B243" s="29">
        <v>45966.583333333299</v>
      </c>
      <c r="C243" t="s">
        <v>74</v>
      </c>
      <c r="D243" t="s">
        <v>75</v>
      </c>
      <c r="E243" t="s">
        <v>91</v>
      </c>
      <c r="F243" s="34" t="s">
        <v>494</v>
      </c>
      <c r="G243" s="30">
        <v>5686</v>
      </c>
      <c r="H243" s="30">
        <v>501</v>
      </c>
      <c r="I243" s="30">
        <v>29</v>
      </c>
      <c r="J243" s="30">
        <v>10</v>
      </c>
      <c r="K243" s="30">
        <v>17</v>
      </c>
      <c r="L243" s="30">
        <f t="shared" si="15"/>
        <v>557</v>
      </c>
      <c r="M243" s="31">
        <f t="shared" si="16"/>
        <v>9.7959901512486805E-2</v>
      </c>
      <c r="N243" s="32">
        <f t="shared" si="17"/>
        <v>14</v>
      </c>
      <c r="O243" t="str">
        <f t="shared" si="18"/>
        <v>Afternoon (12-16)</v>
      </c>
      <c r="P243" t="str">
        <f t="shared" si="19"/>
        <v>Wednesday</v>
      </c>
    </row>
    <row r="244" spans="1:16" ht="26.4" x14ac:dyDescent="0.25">
      <c r="A244" t="s">
        <v>495</v>
      </c>
      <c r="B244" s="29">
        <v>45886.833333333299</v>
      </c>
      <c r="C244" t="s">
        <v>100</v>
      </c>
      <c r="D244" t="s">
        <v>75</v>
      </c>
      <c r="E244" t="s">
        <v>111</v>
      </c>
      <c r="F244" s="34" t="s">
        <v>400</v>
      </c>
      <c r="G244" s="30">
        <v>31616</v>
      </c>
      <c r="H244" s="30">
        <v>1163</v>
      </c>
      <c r="I244" s="30">
        <v>30</v>
      </c>
      <c r="J244" s="30">
        <v>22</v>
      </c>
      <c r="K244" s="30">
        <v>229</v>
      </c>
      <c r="L244" s="30">
        <f t="shared" si="15"/>
        <v>1444</v>
      </c>
      <c r="M244" s="31">
        <f t="shared" si="16"/>
        <v>4.567307692307692E-2</v>
      </c>
      <c r="N244" s="32">
        <f t="shared" si="17"/>
        <v>20</v>
      </c>
      <c r="O244" t="str">
        <f t="shared" si="18"/>
        <v>Evening (17-20)</v>
      </c>
      <c r="P244" t="str">
        <f t="shared" si="19"/>
        <v>Sunday</v>
      </c>
    </row>
    <row r="245" spans="1:16" x14ac:dyDescent="0.25">
      <c r="A245" t="s">
        <v>496</v>
      </c>
      <c r="B245" s="29">
        <v>45932.333333333299</v>
      </c>
      <c r="C245" t="s">
        <v>79</v>
      </c>
      <c r="D245" t="s">
        <v>75</v>
      </c>
      <c r="E245" t="s">
        <v>131</v>
      </c>
      <c r="F245" s="34" t="s">
        <v>497</v>
      </c>
      <c r="G245" s="30">
        <v>5663</v>
      </c>
      <c r="H245" s="30">
        <v>332</v>
      </c>
      <c r="I245" s="30">
        <v>29</v>
      </c>
      <c r="J245" s="30">
        <v>8</v>
      </c>
      <c r="K245" s="30">
        <v>28</v>
      </c>
      <c r="L245" s="30">
        <f t="shared" si="15"/>
        <v>397</v>
      </c>
      <c r="M245" s="31">
        <f t="shared" si="16"/>
        <v>7.0104185060921767E-2</v>
      </c>
      <c r="N245" s="32">
        <f t="shared" si="17"/>
        <v>8</v>
      </c>
      <c r="O245" t="str">
        <f t="shared" si="18"/>
        <v>Morning (06-11)</v>
      </c>
      <c r="P245" t="str">
        <f t="shared" si="19"/>
        <v>Thursday</v>
      </c>
    </row>
    <row r="246" spans="1:16" ht="26.4" x14ac:dyDescent="0.25">
      <c r="A246" t="s">
        <v>498</v>
      </c>
      <c r="B246" s="29">
        <v>46076.875</v>
      </c>
      <c r="C246" t="s">
        <v>100</v>
      </c>
      <c r="D246" t="s">
        <v>75</v>
      </c>
      <c r="E246" t="s">
        <v>81</v>
      </c>
      <c r="F246" s="34" t="s">
        <v>499</v>
      </c>
      <c r="G246" s="30">
        <v>24616</v>
      </c>
      <c r="H246" s="30">
        <v>1117</v>
      </c>
      <c r="I246" s="30">
        <v>22</v>
      </c>
      <c r="J246" s="30">
        <v>111</v>
      </c>
      <c r="K246" s="30">
        <v>30</v>
      </c>
      <c r="L246" s="30">
        <f t="shared" si="15"/>
        <v>1280</v>
      </c>
      <c r="M246" s="31">
        <f t="shared" si="16"/>
        <v>5.1998700032499186E-2</v>
      </c>
      <c r="N246" s="32">
        <f t="shared" si="17"/>
        <v>21</v>
      </c>
      <c r="O246" t="str">
        <f t="shared" si="18"/>
        <v>Night (21-05)</v>
      </c>
      <c r="P246" t="str">
        <f t="shared" si="19"/>
        <v>Monday</v>
      </c>
    </row>
    <row r="247" spans="1:16" x14ac:dyDescent="0.25">
      <c r="A247" t="s">
        <v>500</v>
      </c>
      <c r="B247" s="29">
        <v>45904.375</v>
      </c>
      <c r="C247" t="s">
        <v>79</v>
      </c>
      <c r="D247" t="s">
        <v>85</v>
      </c>
      <c r="E247" t="s">
        <v>76</v>
      </c>
      <c r="F247" s="34" t="s">
        <v>86</v>
      </c>
      <c r="G247" s="30">
        <v>7680</v>
      </c>
      <c r="H247" s="30">
        <v>464</v>
      </c>
      <c r="I247" s="30">
        <v>40</v>
      </c>
      <c r="J247" s="30">
        <v>9</v>
      </c>
      <c r="K247" s="30">
        <v>43</v>
      </c>
      <c r="L247" s="30">
        <f t="shared" si="15"/>
        <v>556</v>
      </c>
      <c r="M247" s="31">
        <f t="shared" si="16"/>
        <v>7.239583333333334E-2</v>
      </c>
      <c r="N247" s="32">
        <f t="shared" si="17"/>
        <v>9</v>
      </c>
      <c r="O247" t="str">
        <f t="shared" si="18"/>
        <v>Morning (06-11)</v>
      </c>
      <c r="P247" t="str">
        <f t="shared" si="19"/>
        <v>Thursday</v>
      </c>
    </row>
    <row r="248" spans="1:16" ht="26.4" x14ac:dyDescent="0.25">
      <c r="A248" t="s">
        <v>501</v>
      </c>
      <c r="B248" s="29">
        <v>45827.291666666701</v>
      </c>
      <c r="C248" t="s">
        <v>74</v>
      </c>
      <c r="D248" t="s">
        <v>85</v>
      </c>
      <c r="E248" t="s">
        <v>131</v>
      </c>
      <c r="F248" s="34" t="s">
        <v>321</v>
      </c>
      <c r="G248" s="30">
        <v>8925</v>
      </c>
      <c r="H248" s="30">
        <v>332</v>
      </c>
      <c r="I248" s="30">
        <v>8</v>
      </c>
      <c r="J248" s="30">
        <v>37</v>
      </c>
      <c r="K248" s="30">
        <v>12</v>
      </c>
      <c r="L248" s="30">
        <f t="shared" si="15"/>
        <v>389</v>
      </c>
      <c r="M248" s="31">
        <f t="shared" si="16"/>
        <v>4.3585434173669467E-2</v>
      </c>
      <c r="N248" s="32">
        <f t="shared" si="17"/>
        <v>7</v>
      </c>
      <c r="O248" t="str">
        <f t="shared" si="18"/>
        <v>Morning (06-11)</v>
      </c>
      <c r="P248" t="str">
        <f t="shared" si="19"/>
        <v>Thursday</v>
      </c>
    </row>
    <row r="249" spans="1:16" x14ac:dyDescent="0.25">
      <c r="A249" t="s">
        <v>502</v>
      </c>
      <c r="B249" s="29">
        <v>45774.833333333299</v>
      </c>
      <c r="C249" t="s">
        <v>74</v>
      </c>
      <c r="D249" t="s">
        <v>75</v>
      </c>
      <c r="E249" t="s">
        <v>94</v>
      </c>
      <c r="F249" s="34" t="s">
        <v>82</v>
      </c>
      <c r="G249" s="30">
        <v>43282</v>
      </c>
      <c r="H249" s="30">
        <v>2361</v>
      </c>
      <c r="I249" s="30">
        <v>88</v>
      </c>
      <c r="J249" s="30">
        <v>38</v>
      </c>
      <c r="K249" s="30">
        <v>396</v>
      </c>
      <c r="L249" s="30">
        <f t="shared" si="15"/>
        <v>2883</v>
      </c>
      <c r="M249" s="31">
        <f t="shared" si="16"/>
        <v>6.6609676077815261E-2</v>
      </c>
      <c r="N249" s="32">
        <f t="shared" si="17"/>
        <v>20</v>
      </c>
      <c r="O249" t="str">
        <f t="shared" si="18"/>
        <v>Evening (17-20)</v>
      </c>
      <c r="P249" t="str">
        <f t="shared" si="19"/>
        <v>Sunday</v>
      </c>
    </row>
    <row r="250" spans="1:16" x14ac:dyDescent="0.25">
      <c r="A250" t="s">
        <v>503</v>
      </c>
      <c r="B250" s="29">
        <v>45983.583333333299</v>
      </c>
      <c r="C250" t="s">
        <v>79</v>
      </c>
      <c r="D250" t="s">
        <v>80</v>
      </c>
      <c r="E250" t="s">
        <v>76</v>
      </c>
      <c r="F250" s="34" t="s">
        <v>447</v>
      </c>
      <c r="G250" s="30">
        <v>15515</v>
      </c>
      <c r="H250" s="30">
        <v>698</v>
      </c>
      <c r="I250" s="30">
        <v>20</v>
      </c>
      <c r="J250" s="30">
        <v>9</v>
      </c>
      <c r="K250" s="30">
        <v>127</v>
      </c>
      <c r="L250" s="30">
        <f t="shared" si="15"/>
        <v>854</v>
      </c>
      <c r="M250" s="31">
        <f t="shared" si="16"/>
        <v>5.504350628424106E-2</v>
      </c>
      <c r="N250" s="32">
        <f t="shared" si="17"/>
        <v>14</v>
      </c>
      <c r="O250" t="str">
        <f t="shared" si="18"/>
        <v>Afternoon (12-16)</v>
      </c>
      <c r="P250" t="str">
        <f t="shared" si="19"/>
        <v>Saturday</v>
      </c>
    </row>
    <row r="251" spans="1:16" x14ac:dyDescent="0.25">
      <c r="A251" t="s">
        <v>504</v>
      </c>
      <c r="B251" s="29">
        <v>45978.791666666701</v>
      </c>
      <c r="C251" t="s">
        <v>74</v>
      </c>
      <c r="D251" t="s">
        <v>80</v>
      </c>
      <c r="E251" t="s">
        <v>131</v>
      </c>
      <c r="F251" s="34" t="s">
        <v>366</v>
      </c>
      <c r="G251" s="30">
        <v>9870</v>
      </c>
      <c r="H251" s="30">
        <v>387</v>
      </c>
      <c r="I251" s="30">
        <v>34</v>
      </c>
      <c r="J251" s="30">
        <v>17</v>
      </c>
      <c r="K251" s="30">
        <v>35</v>
      </c>
      <c r="L251" s="30">
        <f t="shared" si="15"/>
        <v>473</v>
      </c>
      <c r="M251" s="31">
        <f t="shared" si="16"/>
        <v>4.7922998986828773E-2</v>
      </c>
      <c r="N251" s="32">
        <f t="shared" si="17"/>
        <v>19</v>
      </c>
      <c r="O251" t="str">
        <f t="shared" si="18"/>
        <v>Evening (17-20)</v>
      </c>
      <c r="P251" t="str">
        <f t="shared" si="19"/>
        <v>Monday</v>
      </c>
    </row>
  </sheetData>
  <conditionalFormatting sqref="M2:M251">
    <cfRule type="colorScale" priority="1">
      <colorScale>
        <cfvo type="min"/>
        <cfvo type="percentile" val="50"/>
        <cfvo type="max"/>
        <color rgb="FFFCE8E6"/>
        <color rgb="FFFFF4CC"/>
        <color rgb="FFD9EAD3"/>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1"/>
  <sheetViews>
    <sheetView workbookViewId="0">
      <selection sqref="A1:G1"/>
    </sheetView>
  </sheetViews>
  <sheetFormatPr defaultRowHeight="13.2" x14ac:dyDescent="0.25"/>
  <cols>
    <col min="1" max="1" width="25" customWidth="1"/>
    <col min="2" max="2" width="18" customWidth="1"/>
    <col min="3" max="3" width="22" customWidth="1"/>
    <col min="4" max="8" width="18" customWidth="1"/>
  </cols>
  <sheetData>
    <row r="1" spans="1:7" ht="22.35" customHeight="1" x14ac:dyDescent="0.25">
      <c r="A1" s="14" t="s">
        <v>603</v>
      </c>
      <c r="B1" s="14"/>
      <c r="C1" s="14"/>
      <c r="D1" s="14"/>
      <c r="E1" s="14"/>
      <c r="F1" s="14"/>
      <c r="G1" s="14"/>
    </row>
    <row r="2" spans="1:7" ht="38.4" customHeight="1" x14ac:dyDescent="0.25">
      <c r="A2" s="13" t="s">
        <v>604</v>
      </c>
      <c r="B2" s="13"/>
      <c r="C2" s="13"/>
      <c r="D2" s="13"/>
      <c r="E2" s="13"/>
      <c r="F2" s="13"/>
      <c r="G2" s="13"/>
    </row>
    <row r="4" spans="1:7" x14ac:dyDescent="0.25">
      <c r="A4" s="12" t="s">
        <v>605</v>
      </c>
      <c r="B4" s="12"/>
      <c r="C4" s="12"/>
      <c r="D4" s="12"/>
      <c r="E4" s="12"/>
      <c r="F4" s="12"/>
      <c r="G4" s="12"/>
    </row>
    <row r="5" spans="1:7" ht="26.4" x14ac:dyDescent="0.25">
      <c r="A5" s="28" t="s">
        <v>606</v>
      </c>
      <c r="B5" s="28" t="s">
        <v>511</v>
      </c>
      <c r="C5" s="28" t="s">
        <v>607</v>
      </c>
      <c r="D5" s="28" t="s">
        <v>608</v>
      </c>
      <c r="E5" s="28" t="s">
        <v>609</v>
      </c>
      <c r="F5" s="28" t="s">
        <v>610</v>
      </c>
      <c r="G5" s="28" t="s">
        <v>611</v>
      </c>
    </row>
    <row r="6" spans="1:7" x14ac:dyDescent="0.25">
      <c r="A6" s="34" t="s">
        <v>75</v>
      </c>
      <c r="B6" s="36">
        <v>61</v>
      </c>
      <c r="C6" s="36">
        <v>15499.836065573771</v>
      </c>
      <c r="D6" s="36">
        <v>1228.950819672131</v>
      </c>
      <c r="E6" s="37">
        <v>8.0844650309718824E-2</v>
      </c>
      <c r="F6" s="37">
        <v>7.9287988238902582E-2</v>
      </c>
      <c r="G6" s="37">
        <v>6.8538683652238586E-2</v>
      </c>
    </row>
    <row r="7" spans="1:7" x14ac:dyDescent="0.25">
      <c r="A7" s="34" t="s">
        <v>85</v>
      </c>
      <c r="B7" s="36">
        <v>61</v>
      </c>
      <c r="C7" s="36">
        <v>10288.295081967213</v>
      </c>
      <c r="D7" s="36">
        <v>799.86885245901635</v>
      </c>
      <c r="E7" s="37">
        <v>7.5764857188220347E-2</v>
      </c>
      <c r="F7" s="37">
        <v>7.7745520135885759E-2</v>
      </c>
      <c r="G7" s="37">
        <v>1.3981191934031578E-3</v>
      </c>
    </row>
    <row r="8" spans="1:7" x14ac:dyDescent="0.25">
      <c r="A8" s="34" t="s">
        <v>80</v>
      </c>
      <c r="B8" s="36">
        <v>78</v>
      </c>
      <c r="C8" s="36">
        <v>22448.961538461539</v>
      </c>
      <c r="D8" s="36">
        <v>1714.7692307692307</v>
      </c>
      <c r="E8" s="37">
        <v>7.5016263147907242E-2</v>
      </c>
      <c r="F8" s="37">
        <v>7.6385236253861316E-2</v>
      </c>
      <c r="G8" s="37">
        <v>-8.4961865814578985E-3</v>
      </c>
    </row>
    <row r="9" spans="1:7" x14ac:dyDescent="0.25">
      <c r="A9" s="34" t="s">
        <v>97</v>
      </c>
      <c r="B9" s="36">
        <v>21</v>
      </c>
      <c r="C9" s="36">
        <v>5458.5714285714284</v>
      </c>
      <c r="D9" s="36">
        <v>386.76190476190476</v>
      </c>
      <c r="E9" s="37">
        <v>7.0968789855788791E-2</v>
      </c>
      <c r="F9" s="37">
        <v>7.0854052167844364E-2</v>
      </c>
      <c r="G9" s="37">
        <v>-6.1992389077344279E-2</v>
      </c>
    </row>
    <row r="10" spans="1:7" x14ac:dyDescent="0.25">
      <c r="A10" s="34" t="s">
        <v>128</v>
      </c>
      <c r="B10" s="36">
        <v>29</v>
      </c>
      <c r="C10" s="36">
        <v>9316.1379310344819</v>
      </c>
      <c r="D10" s="36">
        <v>671.13793103448279</v>
      </c>
      <c r="E10" s="37">
        <v>6.9654349149029599E-2</v>
      </c>
      <c r="F10" s="37">
        <v>7.2040360072251342E-2</v>
      </c>
      <c r="G10" s="37">
        <v>-7.9365594814008067E-2</v>
      </c>
    </row>
    <row r="12" spans="1:7" x14ac:dyDescent="0.25">
      <c r="A12" s="12" t="s">
        <v>612</v>
      </c>
      <c r="B12" s="12"/>
      <c r="C12" s="12"/>
      <c r="D12" s="12"/>
      <c r="E12" s="12"/>
      <c r="F12" s="12"/>
      <c r="G12" s="12"/>
    </row>
    <row r="13" spans="1:7" ht="26.4" x14ac:dyDescent="0.25">
      <c r="A13" s="28" t="s">
        <v>606</v>
      </c>
      <c r="B13" s="28" t="s">
        <v>511</v>
      </c>
      <c r="C13" s="28" t="s">
        <v>607</v>
      </c>
      <c r="D13" s="28" t="s">
        <v>608</v>
      </c>
      <c r="E13" s="28" t="s">
        <v>609</v>
      </c>
      <c r="F13" s="28" t="s">
        <v>610</v>
      </c>
      <c r="G13" s="28" t="s">
        <v>611</v>
      </c>
    </row>
    <row r="14" spans="1:7" x14ac:dyDescent="0.25">
      <c r="A14" s="34" t="s">
        <v>115</v>
      </c>
      <c r="B14" s="36">
        <v>34</v>
      </c>
      <c r="C14" s="36">
        <v>13644.558823529413</v>
      </c>
      <c r="D14" s="36">
        <v>1135.6764705882354</v>
      </c>
      <c r="E14" s="37">
        <v>8.114283497908488E-2</v>
      </c>
      <c r="F14" s="37">
        <v>8.3232919823674589E-2</v>
      </c>
      <c r="G14" s="37">
        <v>7.2479845533315768E-2</v>
      </c>
    </row>
    <row r="15" spans="1:7" x14ac:dyDescent="0.25">
      <c r="A15" s="34" t="s">
        <v>111</v>
      </c>
      <c r="B15" s="36">
        <v>29</v>
      </c>
      <c r="C15" s="36">
        <v>24614.172413793105</v>
      </c>
      <c r="D15" s="36">
        <v>1841.0689655172414</v>
      </c>
      <c r="E15" s="37">
        <v>7.9045943927314968E-2</v>
      </c>
      <c r="F15" s="37">
        <v>7.4797110159411942E-2</v>
      </c>
      <c r="G15" s="37">
        <v>4.476484898578259E-2</v>
      </c>
    </row>
    <row r="16" spans="1:7" x14ac:dyDescent="0.25">
      <c r="A16" s="34" t="s">
        <v>131</v>
      </c>
      <c r="B16" s="36">
        <v>32</v>
      </c>
      <c r="C16" s="36">
        <v>16525.75</v>
      </c>
      <c r="D16" s="36">
        <v>1315.65625</v>
      </c>
      <c r="E16" s="37">
        <v>7.5826376785531016E-2</v>
      </c>
      <c r="F16" s="37">
        <v>7.961249867630818E-2</v>
      </c>
      <c r="G16" s="37">
        <v>2.2112350801974934E-3</v>
      </c>
    </row>
    <row r="17" spans="1:7" x14ac:dyDescent="0.25">
      <c r="A17" s="34" t="s">
        <v>94</v>
      </c>
      <c r="B17" s="36">
        <v>34</v>
      </c>
      <c r="C17" s="36">
        <v>17290.588235294119</v>
      </c>
      <c r="D17" s="36">
        <v>1317.9705882352941</v>
      </c>
      <c r="E17" s="37">
        <v>7.492265942406709E-2</v>
      </c>
      <c r="F17" s="37">
        <v>7.6224739742804651E-2</v>
      </c>
      <c r="G17" s="37">
        <v>-9.733364297904501E-3</v>
      </c>
    </row>
    <row r="18" spans="1:7" x14ac:dyDescent="0.25">
      <c r="A18" s="34" t="s">
        <v>88</v>
      </c>
      <c r="B18" s="36">
        <v>34</v>
      </c>
      <c r="C18" s="36">
        <v>11896.794117647059</v>
      </c>
      <c r="D18" s="36">
        <v>936.88235294117646</v>
      </c>
      <c r="E18" s="37">
        <v>7.4446461155528748E-2</v>
      </c>
      <c r="F18" s="37">
        <v>7.8750825111065514E-2</v>
      </c>
      <c r="G18" s="37">
        <v>-1.6027364817073786E-2</v>
      </c>
    </row>
    <row r="19" spans="1:7" x14ac:dyDescent="0.25">
      <c r="A19" s="34" t="s">
        <v>91</v>
      </c>
      <c r="B19" s="36">
        <v>26</v>
      </c>
      <c r="C19" s="36">
        <v>12272</v>
      </c>
      <c r="D19" s="36">
        <v>937.42307692307691</v>
      </c>
      <c r="E19" s="37">
        <v>7.384188784600336E-2</v>
      </c>
      <c r="F19" s="37">
        <v>7.6387147728412402E-2</v>
      </c>
      <c r="G19" s="37">
        <v>-2.4018121977339213E-2</v>
      </c>
    </row>
    <row r="20" spans="1:7" x14ac:dyDescent="0.25">
      <c r="A20" s="34" t="s">
        <v>76</v>
      </c>
      <c r="B20" s="36">
        <v>35</v>
      </c>
      <c r="C20" s="36">
        <v>11245.171428571428</v>
      </c>
      <c r="D20" s="36">
        <v>811.17142857142858</v>
      </c>
      <c r="E20" s="37">
        <v>7.3286079661600223E-2</v>
      </c>
      <c r="F20" s="37">
        <v>7.2135087821820668E-2</v>
      </c>
      <c r="G20" s="37">
        <v>-3.1364341466816881E-2</v>
      </c>
    </row>
    <row r="21" spans="1:7" x14ac:dyDescent="0.25">
      <c r="A21" s="34" t="s">
        <v>81</v>
      </c>
      <c r="B21" s="36">
        <v>26</v>
      </c>
      <c r="C21" s="36">
        <v>11435.346153846154</v>
      </c>
      <c r="D21" s="36">
        <v>829.26923076923072</v>
      </c>
      <c r="E21" s="37">
        <v>7.206478473185042E-2</v>
      </c>
      <c r="F21" s="37">
        <v>7.2518069817266981E-2</v>
      </c>
      <c r="G21" s="37">
        <v>-4.7506422254927183E-2</v>
      </c>
    </row>
    <row r="23" spans="1:7" x14ac:dyDescent="0.25">
      <c r="A23" s="12" t="s">
        <v>613</v>
      </c>
      <c r="B23" s="12"/>
      <c r="C23" s="12"/>
      <c r="D23" s="12"/>
      <c r="E23" s="12"/>
      <c r="F23" s="12"/>
      <c r="G23" s="12"/>
    </row>
    <row r="24" spans="1:7" ht="26.4" x14ac:dyDescent="0.25">
      <c r="A24" s="28" t="s">
        <v>606</v>
      </c>
      <c r="B24" s="28" t="s">
        <v>511</v>
      </c>
      <c r="C24" s="28" t="s">
        <v>607</v>
      </c>
      <c r="D24" s="28" t="s">
        <v>608</v>
      </c>
      <c r="E24" s="28" t="s">
        <v>609</v>
      </c>
      <c r="F24" s="28" t="s">
        <v>610</v>
      </c>
      <c r="G24" s="28" t="s">
        <v>611</v>
      </c>
    </row>
    <row r="25" spans="1:7" x14ac:dyDescent="0.25">
      <c r="A25" s="34" t="s">
        <v>614</v>
      </c>
      <c r="B25" s="36">
        <v>42</v>
      </c>
      <c r="C25" s="36">
        <v>13809.761904761905</v>
      </c>
      <c r="D25" s="36">
        <v>1072.4047619047619</v>
      </c>
      <c r="E25" s="37">
        <v>7.7478044173438704E-2</v>
      </c>
      <c r="F25" s="37">
        <v>7.7655557662798913E-2</v>
      </c>
      <c r="G25" s="37">
        <v>2.4041628182832397E-2</v>
      </c>
    </row>
    <row r="26" spans="1:7" x14ac:dyDescent="0.25">
      <c r="A26" s="34" t="s">
        <v>615</v>
      </c>
      <c r="B26" s="36">
        <v>39</v>
      </c>
      <c r="C26" s="36">
        <v>16513.358974358973</v>
      </c>
      <c r="D26" s="36">
        <v>1242.948717948718</v>
      </c>
      <c r="E26" s="37">
        <v>7.6985675044359034E-2</v>
      </c>
      <c r="F26" s="37">
        <v>7.5269284697238134E-2</v>
      </c>
      <c r="G26" s="37">
        <v>1.7533894411429829E-2</v>
      </c>
    </row>
    <row r="27" spans="1:7" x14ac:dyDescent="0.25">
      <c r="A27" s="34" t="s">
        <v>616</v>
      </c>
      <c r="B27" s="36">
        <v>71</v>
      </c>
      <c r="C27" s="36">
        <v>12941.12676056338</v>
      </c>
      <c r="D27" s="36">
        <v>996.54929577464793</v>
      </c>
      <c r="E27" s="37">
        <v>7.6528699716505E-2</v>
      </c>
      <c r="F27" s="37">
        <v>7.7006377745369059E-2</v>
      </c>
      <c r="G27" s="37">
        <v>1.1493967051783516E-2</v>
      </c>
    </row>
    <row r="28" spans="1:7" x14ac:dyDescent="0.25">
      <c r="A28" s="34" t="s">
        <v>617</v>
      </c>
      <c r="B28" s="36">
        <v>98</v>
      </c>
      <c r="C28" s="36">
        <v>15980.020408163266</v>
      </c>
      <c r="D28" s="36">
        <v>1232.8979591836735</v>
      </c>
      <c r="E28" s="37">
        <v>7.3721554421614224E-2</v>
      </c>
      <c r="F28" s="37">
        <v>7.715246462099995E-2</v>
      </c>
      <c r="G28" s="37">
        <v>-2.5608591085728327E-2</v>
      </c>
    </row>
    <row r="30" spans="1:7" x14ac:dyDescent="0.25">
      <c r="A30" s="12" t="s">
        <v>618</v>
      </c>
      <c r="B30" s="12"/>
      <c r="C30" s="12"/>
      <c r="D30" s="12"/>
      <c r="E30" s="12"/>
      <c r="F30" s="12"/>
      <c r="G30" s="12"/>
    </row>
    <row r="31" spans="1:7" ht="26.4" x14ac:dyDescent="0.25">
      <c r="A31" s="28" t="s">
        <v>606</v>
      </c>
      <c r="B31" s="28" t="s">
        <v>511</v>
      </c>
      <c r="C31" s="28" t="s">
        <v>607</v>
      </c>
      <c r="D31" s="28" t="s">
        <v>608</v>
      </c>
      <c r="E31" s="28" t="s">
        <v>609</v>
      </c>
      <c r="F31" s="28" t="s">
        <v>610</v>
      </c>
      <c r="G31" s="28" t="s">
        <v>611</v>
      </c>
    </row>
    <row r="32" spans="1:7" x14ac:dyDescent="0.25">
      <c r="A32" s="34" t="s">
        <v>100</v>
      </c>
      <c r="B32" s="36">
        <v>33</v>
      </c>
      <c r="C32" s="36">
        <v>12604.060606060606</v>
      </c>
      <c r="D32" s="36">
        <v>959.60606060606062</v>
      </c>
      <c r="E32" s="37">
        <v>7.9405612818426161E-2</v>
      </c>
      <c r="F32" s="37">
        <v>7.6134675212894354E-2</v>
      </c>
      <c r="G32" s="37">
        <v>4.9518659188267033E-2</v>
      </c>
    </row>
    <row r="33" spans="1:7" x14ac:dyDescent="0.25">
      <c r="A33" s="34" t="s">
        <v>74</v>
      </c>
      <c r="B33" s="36">
        <v>130</v>
      </c>
      <c r="C33" s="36">
        <v>16986.530769230769</v>
      </c>
      <c r="D33" s="36">
        <v>1302.5999999999999</v>
      </c>
      <c r="E33" s="37">
        <v>7.6461726310469116E-2</v>
      </c>
      <c r="F33" s="37">
        <v>7.6684286962203987E-2</v>
      </c>
      <c r="G33" s="37">
        <v>1.0608767167176181E-2</v>
      </c>
    </row>
    <row r="34" spans="1:7" x14ac:dyDescent="0.25">
      <c r="A34" s="34" t="s">
        <v>79</v>
      </c>
      <c r="B34" s="36">
        <v>56</v>
      </c>
      <c r="C34" s="36">
        <v>11363.857142857143</v>
      </c>
      <c r="D34" s="36">
        <v>876.66071428571433</v>
      </c>
      <c r="E34" s="37">
        <v>7.3060536684033436E-2</v>
      </c>
      <c r="F34" s="37">
        <v>7.7144644046915664E-2</v>
      </c>
      <c r="G34" s="37">
        <v>-3.4345384682823665E-2</v>
      </c>
    </row>
    <row r="35" spans="1:7" x14ac:dyDescent="0.25">
      <c r="A35" s="34" t="s">
        <v>84</v>
      </c>
      <c r="B35" s="36">
        <v>31</v>
      </c>
      <c r="C35" s="36">
        <v>14462.387096774193</v>
      </c>
      <c r="D35" s="36">
        <v>1128.9354838709678</v>
      </c>
      <c r="E35" s="37">
        <v>7.2999016049340573E-2</v>
      </c>
      <c r="F35" s="37">
        <v>7.8060106973818627E-2</v>
      </c>
      <c r="G35" s="37">
        <v>-3.5158514280890008E-2</v>
      </c>
    </row>
    <row r="37" spans="1:7" x14ac:dyDescent="0.25">
      <c r="A37" s="12" t="s">
        <v>619</v>
      </c>
      <c r="B37" s="12"/>
      <c r="C37" s="12"/>
      <c r="D37" s="12"/>
      <c r="E37" s="12"/>
      <c r="F37" s="12"/>
      <c r="G37" s="12"/>
    </row>
    <row r="38" spans="1:7" ht="26.4" x14ac:dyDescent="0.25">
      <c r="A38" s="28" t="s">
        <v>606</v>
      </c>
      <c r="B38" s="28" t="s">
        <v>511</v>
      </c>
      <c r="C38" s="28" t="s">
        <v>607</v>
      </c>
      <c r="D38" s="28" t="s">
        <v>608</v>
      </c>
      <c r="E38" s="28" t="s">
        <v>609</v>
      </c>
      <c r="F38" s="28" t="s">
        <v>610</v>
      </c>
      <c r="G38" s="28" t="s">
        <v>611</v>
      </c>
    </row>
    <row r="39" spans="1:7" x14ac:dyDescent="0.25">
      <c r="A39" s="34" t="s">
        <v>620</v>
      </c>
      <c r="B39" s="36">
        <v>31</v>
      </c>
      <c r="C39" s="36">
        <v>12487.548387096775</v>
      </c>
      <c r="D39" s="36">
        <v>1106.258064516129</v>
      </c>
      <c r="E39" s="37">
        <v>8.4601092582948872E-2</v>
      </c>
      <c r="F39" s="37">
        <v>8.8588891127678149E-2</v>
      </c>
      <c r="G39" s="37">
        <v>0.11818827538744237</v>
      </c>
    </row>
    <row r="40" spans="1:7" x14ac:dyDescent="0.25">
      <c r="A40" s="34" t="s">
        <v>621</v>
      </c>
      <c r="B40" s="36">
        <v>37</v>
      </c>
      <c r="C40" s="36">
        <v>13269.324324324325</v>
      </c>
      <c r="D40" s="36">
        <v>1012.7567567567568</v>
      </c>
      <c r="E40" s="37">
        <v>7.7742457657062225E-2</v>
      </c>
      <c r="F40" s="37">
        <v>7.6323159492020815E-2</v>
      </c>
      <c r="G40" s="37">
        <v>2.753643006086115E-2</v>
      </c>
    </row>
    <row r="41" spans="1:7" x14ac:dyDescent="0.25">
      <c r="A41" s="34" t="s">
        <v>622</v>
      </c>
      <c r="B41" s="36">
        <v>39</v>
      </c>
      <c r="C41" s="36">
        <v>15678.717948717949</v>
      </c>
      <c r="D41" s="36">
        <v>1234.6923076923076</v>
      </c>
      <c r="E41" s="37">
        <v>7.6896206252811947E-2</v>
      </c>
      <c r="F41" s="37">
        <v>7.8749570706657723E-2</v>
      </c>
      <c r="G41" s="37">
        <v>1.6351368859257365E-2</v>
      </c>
    </row>
    <row r="42" spans="1:7" x14ac:dyDescent="0.25">
      <c r="A42" s="34" t="s">
        <v>623</v>
      </c>
      <c r="B42" s="36">
        <v>33</v>
      </c>
      <c r="C42" s="36">
        <v>13144.212121212122</v>
      </c>
      <c r="D42" s="36">
        <v>1047.5151515151515</v>
      </c>
      <c r="E42" s="37">
        <v>7.6842959743725195E-2</v>
      </c>
      <c r="F42" s="37">
        <v>7.969402363985531E-2</v>
      </c>
      <c r="G42" s="37">
        <v>1.5647599908428012E-2</v>
      </c>
    </row>
    <row r="43" spans="1:7" x14ac:dyDescent="0.25">
      <c r="A43" s="34" t="s">
        <v>624</v>
      </c>
      <c r="B43" s="36">
        <v>34</v>
      </c>
      <c r="C43" s="36">
        <v>14815.058823529413</v>
      </c>
      <c r="D43" s="36">
        <v>1141.3823529411766</v>
      </c>
      <c r="E43" s="37">
        <v>7.5349305410802467E-2</v>
      </c>
      <c r="F43" s="37">
        <v>7.7042039895813486E-2</v>
      </c>
      <c r="G43" s="37">
        <v>-4.0943054448423499E-3</v>
      </c>
    </row>
    <row r="44" spans="1:7" x14ac:dyDescent="0.25">
      <c r="A44" s="34" t="s">
        <v>625</v>
      </c>
      <c r="B44" s="36">
        <v>40</v>
      </c>
      <c r="C44" s="36">
        <v>17199.674999999999</v>
      </c>
      <c r="D44" s="36">
        <v>1233.8499999999999</v>
      </c>
      <c r="E44" s="37">
        <v>7.1368952888799533E-2</v>
      </c>
      <c r="F44" s="37">
        <v>7.1736820608528942E-2</v>
      </c>
      <c r="G44" s="37">
        <v>-5.6703360317847173E-2</v>
      </c>
    </row>
    <row r="45" spans="1:7" x14ac:dyDescent="0.25">
      <c r="A45" s="34" t="s">
        <v>626</v>
      </c>
      <c r="B45" s="36">
        <v>36</v>
      </c>
      <c r="C45" s="36">
        <v>16496.833333333332</v>
      </c>
      <c r="D45" s="36">
        <v>1179.0833333333333</v>
      </c>
      <c r="E45" s="37">
        <v>6.8451671580552695E-2</v>
      </c>
      <c r="F45" s="37">
        <v>7.1473313060082241E-2</v>
      </c>
      <c r="G45" s="37">
        <v>-9.5261606497589968E-2</v>
      </c>
    </row>
    <row r="47" spans="1:7" x14ac:dyDescent="0.25">
      <c r="A47" s="12" t="s">
        <v>627</v>
      </c>
      <c r="B47" s="12"/>
      <c r="C47" s="12"/>
      <c r="D47" s="12"/>
      <c r="E47" s="12"/>
      <c r="F47" s="12"/>
      <c r="G47" s="12"/>
    </row>
    <row r="48" spans="1:7" ht="26.4" x14ac:dyDescent="0.25">
      <c r="A48" s="28" t="s">
        <v>628</v>
      </c>
      <c r="B48" s="28" t="s">
        <v>511</v>
      </c>
      <c r="C48" s="28" t="s">
        <v>607</v>
      </c>
      <c r="D48" s="28" t="s">
        <v>608</v>
      </c>
      <c r="E48" s="28" t="s">
        <v>609</v>
      </c>
      <c r="F48" s="28" t="s">
        <v>610</v>
      </c>
      <c r="G48" s="28" t="s">
        <v>611</v>
      </c>
    </row>
    <row r="49" spans="1:8" x14ac:dyDescent="0.25">
      <c r="A49" t="s">
        <v>629</v>
      </c>
      <c r="B49" s="35">
        <v>12</v>
      </c>
      <c r="C49" s="35">
        <v>17128.083333333332</v>
      </c>
      <c r="D49" s="35">
        <v>1583.75</v>
      </c>
      <c r="E49" s="31">
        <v>9.0508430740679477E-2</v>
      </c>
      <c r="F49" s="31">
        <v>9.2465103606649904E-2</v>
      </c>
      <c r="G49" s="31">
        <v>0.19626665552475209</v>
      </c>
    </row>
    <row r="50" spans="1:8" x14ac:dyDescent="0.25">
      <c r="A50" t="s">
        <v>630</v>
      </c>
      <c r="B50" s="35">
        <v>7</v>
      </c>
      <c r="C50" s="35">
        <v>14787.857142857143</v>
      </c>
      <c r="D50" s="35">
        <v>1409.5714285714287</v>
      </c>
      <c r="E50" s="31">
        <v>8.84744522572741E-2</v>
      </c>
      <c r="F50" s="31">
        <v>9.5319518910302853E-2</v>
      </c>
      <c r="G50" s="31">
        <v>0.16938318601986047</v>
      </c>
    </row>
    <row r="51" spans="1:8" x14ac:dyDescent="0.25">
      <c r="A51" t="s">
        <v>631</v>
      </c>
      <c r="B51" s="35">
        <v>12</v>
      </c>
      <c r="C51" s="35">
        <v>13725.333333333334</v>
      </c>
      <c r="D51" s="35">
        <v>1194.5833333333333</v>
      </c>
      <c r="E51" s="31">
        <v>8.5173973616582979E-2</v>
      </c>
      <c r="F51" s="31">
        <v>8.7034923256265787E-2</v>
      </c>
      <c r="G51" s="31">
        <v>0.12576014988035644</v>
      </c>
    </row>
    <row r="52" spans="1:8" x14ac:dyDescent="0.25">
      <c r="A52" t="s">
        <v>632</v>
      </c>
      <c r="B52" s="35">
        <v>9</v>
      </c>
      <c r="C52" s="35">
        <v>12895.777777777777</v>
      </c>
      <c r="D52" s="35">
        <v>1111.2222222222222</v>
      </c>
      <c r="E52" s="31">
        <v>8.3208991164818003E-2</v>
      </c>
      <c r="F52" s="31">
        <v>8.6169461150074955E-2</v>
      </c>
      <c r="G52" s="31">
        <v>9.9788613676478732E-2</v>
      </c>
    </row>
    <row r="53" spans="1:8" x14ac:dyDescent="0.25">
      <c r="A53" t="s">
        <v>633</v>
      </c>
      <c r="B53" s="35">
        <v>12</v>
      </c>
      <c r="C53" s="35">
        <v>16200.416666666666</v>
      </c>
      <c r="D53" s="35">
        <v>1408.25</v>
      </c>
      <c r="E53" s="31">
        <v>8.2841664015467553E-2</v>
      </c>
      <c r="F53" s="31">
        <v>8.6926776574676581E-2</v>
      </c>
      <c r="G53" s="31">
        <v>9.493358285956055E-2</v>
      </c>
    </row>
    <row r="54" spans="1:8" x14ac:dyDescent="0.25">
      <c r="A54" t="s">
        <v>634</v>
      </c>
      <c r="B54" s="35">
        <v>13</v>
      </c>
      <c r="C54" s="35">
        <v>14381.923076923076</v>
      </c>
      <c r="D54" s="35">
        <v>1256.8461538461538</v>
      </c>
      <c r="E54" s="31">
        <v>7.9302752384849975E-2</v>
      </c>
      <c r="F54" s="31">
        <v>8.7390688096702585E-2</v>
      </c>
      <c r="G54" s="31">
        <v>4.8159133828551415E-2</v>
      </c>
    </row>
    <row r="55" spans="1:8" x14ac:dyDescent="0.25">
      <c r="A55" t="s">
        <v>635</v>
      </c>
      <c r="B55" s="35">
        <v>15</v>
      </c>
      <c r="C55" s="35">
        <v>13002.866666666667</v>
      </c>
      <c r="D55" s="35">
        <v>1017.2</v>
      </c>
      <c r="E55" s="31">
        <v>7.8767918218065155E-2</v>
      </c>
      <c r="F55" s="31">
        <v>7.8228903370026096E-2</v>
      </c>
      <c r="G55" s="31">
        <v>4.1090131806041708E-2</v>
      </c>
    </row>
    <row r="56" spans="1:8" x14ac:dyDescent="0.25">
      <c r="A56" t="s">
        <v>636</v>
      </c>
      <c r="B56" s="35">
        <v>11</v>
      </c>
      <c r="C56" s="35">
        <v>14362.545454545454</v>
      </c>
      <c r="D56" s="35">
        <v>1050.6363636363637</v>
      </c>
      <c r="E56" s="31">
        <v>7.714661824676243E-2</v>
      </c>
      <c r="F56" s="31">
        <v>7.3151125401929265E-2</v>
      </c>
      <c r="G56" s="31">
        <v>1.9661110460730047E-2</v>
      </c>
    </row>
    <row r="57" spans="1:8" x14ac:dyDescent="0.25">
      <c r="A57" t="s">
        <v>637</v>
      </c>
      <c r="B57" s="35">
        <v>9</v>
      </c>
      <c r="C57" s="35">
        <v>19791.222222222223</v>
      </c>
      <c r="D57" s="35">
        <v>1368.5555555555557</v>
      </c>
      <c r="E57" s="31">
        <v>7.7137155004584956E-2</v>
      </c>
      <c r="F57" s="31">
        <v>6.9149623009078093E-2</v>
      </c>
      <c r="G57" s="31">
        <v>1.9536033040014278E-2</v>
      </c>
    </row>
    <row r="58" spans="1:8" x14ac:dyDescent="0.25">
      <c r="A58" t="s">
        <v>638</v>
      </c>
      <c r="B58" s="35">
        <v>9</v>
      </c>
      <c r="C58" s="35">
        <v>12202.777777777777</v>
      </c>
      <c r="D58" s="35">
        <v>856.88888888888891</v>
      </c>
      <c r="E58" s="31">
        <v>7.6631056598181257E-2</v>
      </c>
      <c r="F58" s="31">
        <v>7.022080582745277E-2</v>
      </c>
      <c r="G58" s="31">
        <v>1.2846836872978828E-2</v>
      </c>
    </row>
    <row r="60" spans="1:8" x14ac:dyDescent="0.25">
      <c r="A60" s="12" t="s">
        <v>639</v>
      </c>
      <c r="B60" s="12"/>
      <c r="C60" s="12"/>
      <c r="D60" s="12"/>
      <c r="E60" s="12"/>
      <c r="F60" s="12"/>
      <c r="G60" s="12"/>
      <c r="H60" s="12"/>
    </row>
    <row r="61" spans="1:8" ht="26.4" x14ac:dyDescent="0.25">
      <c r="A61" s="28" t="s">
        <v>640</v>
      </c>
      <c r="B61" s="28" t="s">
        <v>641</v>
      </c>
      <c r="C61" s="28" t="s">
        <v>642</v>
      </c>
      <c r="D61" s="28" t="s">
        <v>511</v>
      </c>
      <c r="E61" s="28" t="s">
        <v>607</v>
      </c>
      <c r="F61" s="28" t="s">
        <v>608</v>
      </c>
      <c r="G61" s="28" t="s">
        <v>609</v>
      </c>
      <c r="H61" s="28" t="s">
        <v>643</v>
      </c>
    </row>
    <row r="62" spans="1:8" x14ac:dyDescent="0.25">
      <c r="A62" t="s">
        <v>75</v>
      </c>
      <c r="B62" t="s">
        <v>115</v>
      </c>
      <c r="C62" t="s">
        <v>617</v>
      </c>
      <c r="D62" s="35">
        <v>5</v>
      </c>
      <c r="E62" s="35">
        <v>13845.6</v>
      </c>
      <c r="F62" s="35">
        <v>1344.8</v>
      </c>
      <c r="G62" s="31">
        <v>9.4696321800455049E-2</v>
      </c>
      <c r="H62" s="31">
        <v>9.7128329577627556E-2</v>
      </c>
    </row>
    <row r="63" spans="1:8" x14ac:dyDescent="0.25">
      <c r="A63" t="s">
        <v>80</v>
      </c>
      <c r="B63" t="s">
        <v>131</v>
      </c>
      <c r="C63" t="s">
        <v>617</v>
      </c>
      <c r="D63" s="35">
        <v>5</v>
      </c>
      <c r="E63" s="35">
        <v>28660.2</v>
      </c>
      <c r="F63" s="35">
        <v>2603.1999999999998</v>
      </c>
      <c r="G63" s="31">
        <v>8.9931550093081042E-2</v>
      </c>
      <c r="H63" s="31">
        <v>9.082979183676318E-2</v>
      </c>
    </row>
    <row r="64" spans="1:8" x14ac:dyDescent="0.25">
      <c r="A64" t="s">
        <v>80</v>
      </c>
      <c r="B64" t="s">
        <v>91</v>
      </c>
      <c r="C64" t="s">
        <v>617</v>
      </c>
      <c r="D64" s="35">
        <v>5</v>
      </c>
      <c r="E64" s="35">
        <v>25691</v>
      </c>
      <c r="F64" s="35">
        <v>2241.8000000000002</v>
      </c>
      <c r="G64" s="31">
        <v>8.8006847083745801E-2</v>
      </c>
      <c r="H64" s="31">
        <v>8.7260130006617101E-2</v>
      </c>
    </row>
    <row r="65" spans="1:8" x14ac:dyDescent="0.25">
      <c r="A65" t="s">
        <v>85</v>
      </c>
      <c r="B65" t="s">
        <v>131</v>
      </c>
      <c r="C65" t="s">
        <v>616</v>
      </c>
      <c r="D65" s="35">
        <v>6</v>
      </c>
      <c r="E65" s="35">
        <v>13988.5</v>
      </c>
      <c r="F65" s="35">
        <v>1270.8333333333333</v>
      </c>
      <c r="G65" s="31">
        <v>8.5163282209776328E-2</v>
      </c>
      <c r="H65" s="31">
        <v>9.0848435024007815E-2</v>
      </c>
    </row>
    <row r="66" spans="1:8" x14ac:dyDescent="0.25">
      <c r="A66" t="s">
        <v>80</v>
      </c>
      <c r="B66" t="s">
        <v>94</v>
      </c>
      <c r="C66" t="s">
        <v>617</v>
      </c>
      <c r="D66" s="35">
        <v>5</v>
      </c>
      <c r="E66" s="35">
        <v>35325.599999999999</v>
      </c>
      <c r="F66" s="35">
        <v>2566.8000000000002</v>
      </c>
      <c r="G66" s="31">
        <v>7.8774465255566278E-2</v>
      </c>
      <c r="H66" s="31">
        <v>7.2661186221890078E-2</v>
      </c>
    </row>
    <row r="67" spans="1:8" x14ac:dyDescent="0.25">
      <c r="A67" t="s">
        <v>85</v>
      </c>
      <c r="B67" t="s">
        <v>81</v>
      </c>
      <c r="C67" t="s">
        <v>617</v>
      </c>
      <c r="D67" s="35">
        <v>6</v>
      </c>
      <c r="E67" s="35">
        <v>7591</v>
      </c>
      <c r="F67" s="35">
        <v>633.33333333333337</v>
      </c>
      <c r="G67" s="31">
        <v>7.8077330405414272E-2</v>
      </c>
      <c r="H67" s="31">
        <v>8.343213454529487E-2</v>
      </c>
    </row>
    <row r="68" spans="1:8" x14ac:dyDescent="0.25">
      <c r="A68" t="s">
        <v>80</v>
      </c>
      <c r="B68" t="s">
        <v>111</v>
      </c>
      <c r="C68" t="s">
        <v>616</v>
      </c>
      <c r="D68" s="35">
        <v>7</v>
      </c>
      <c r="E68" s="35">
        <v>31014.571428571428</v>
      </c>
      <c r="F68" s="35">
        <v>2235.5714285714284</v>
      </c>
      <c r="G68" s="31">
        <v>7.6762536504242279E-2</v>
      </c>
      <c r="H68" s="31">
        <v>7.2081325828412451E-2</v>
      </c>
    </row>
    <row r="69" spans="1:8" x14ac:dyDescent="0.25">
      <c r="A69" t="s">
        <v>80</v>
      </c>
      <c r="B69" t="s">
        <v>88</v>
      </c>
      <c r="C69" t="s">
        <v>617</v>
      </c>
      <c r="D69" s="35">
        <v>5</v>
      </c>
      <c r="E69" s="35">
        <v>27244.400000000001</v>
      </c>
      <c r="F69" s="35">
        <v>2055.1999999999998</v>
      </c>
      <c r="G69" s="31">
        <v>7.6384670278836664E-2</v>
      </c>
      <c r="H69" s="31">
        <v>7.5435685865719193E-2</v>
      </c>
    </row>
    <row r="70" spans="1:8" x14ac:dyDescent="0.25">
      <c r="A70" t="s">
        <v>75</v>
      </c>
      <c r="B70" t="s">
        <v>88</v>
      </c>
      <c r="C70" t="s">
        <v>614</v>
      </c>
      <c r="D70" s="35">
        <v>5</v>
      </c>
      <c r="E70" s="35">
        <v>8830.7999999999993</v>
      </c>
      <c r="F70" s="35">
        <v>709.8</v>
      </c>
      <c r="G70" s="31">
        <v>7.3655037601726231E-2</v>
      </c>
      <c r="H70" s="31">
        <v>8.0377768718575895E-2</v>
      </c>
    </row>
    <row r="71" spans="1:8" x14ac:dyDescent="0.25">
      <c r="A71" t="s">
        <v>85</v>
      </c>
      <c r="B71" t="s">
        <v>76</v>
      </c>
      <c r="C71" t="s">
        <v>615</v>
      </c>
      <c r="D71" s="35">
        <v>5</v>
      </c>
      <c r="E71" s="35">
        <v>8560.4</v>
      </c>
      <c r="F71" s="35">
        <v>584.6</v>
      </c>
      <c r="G71" s="31">
        <v>6.6745243244032443E-2</v>
      </c>
      <c r="H71" s="31">
        <v>6.8291201345731509E-2</v>
      </c>
    </row>
  </sheetData>
  <mergeCells count="9">
    <mergeCell ref="A30:G30"/>
    <mergeCell ref="A37:G37"/>
    <mergeCell ref="A47:G47"/>
    <mergeCell ref="A60:H60"/>
    <mergeCell ref="A1:G1"/>
    <mergeCell ref="A2:G2"/>
    <mergeCell ref="A4:G4"/>
    <mergeCell ref="A12:G12"/>
    <mergeCell ref="A23:G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4"/>
  <sheetViews>
    <sheetView workbookViewId="0"/>
  </sheetViews>
  <sheetFormatPr defaultRowHeight="13.2" x14ac:dyDescent="0.25"/>
  <cols>
    <col min="1" max="2" width="18" customWidth="1"/>
    <col min="3" max="5" width="14" customWidth="1"/>
    <col min="6" max="6" width="30" customWidth="1"/>
    <col min="7" max="7" width="14" customWidth="1"/>
    <col min="8" max="8" width="18" customWidth="1"/>
    <col min="9" max="11" width="14" customWidth="1"/>
    <col min="12" max="12" width="24" customWidth="1"/>
  </cols>
  <sheetData>
    <row r="1" spans="1:21" ht="22.35" customHeight="1" x14ac:dyDescent="0.25">
      <c r="A1" s="14" t="s">
        <v>644</v>
      </c>
      <c r="B1" s="14"/>
      <c r="C1" s="14"/>
      <c r="D1" s="14"/>
      <c r="E1" s="14"/>
      <c r="F1" s="14"/>
      <c r="G1" s="14"/>
      <c r="H1" s="14"/>
      <c r="I1" s="14"/>
      <c r="J1" s="14"/>
      <c r="K1" s="14"/>
      <c r="L1" s="14"/>
    </row>
    <row r="2" spans="1:21" ht="36.75" customHeight="1" x14ac:dyDescent="0.25">
      <c r="A2" s="13" t="s">
        <v>645</v>
      </c>
      <c r="B2" s="13"/>
      <c r="C2" s="13"/>
      <c r="D2" s="13"/>
      <c r="E2" s="13"/>
      <c r="F2" s="13"/>
      <c r="G2" s="13"/>
      <c r="H2" s="13"/>
      <c r="I2" s="13"/>
      <c r="J2" s="13"/>
      <c r="K2" s="13"/>
      <c r="L2" s="13"/>
      <c r="N2" s="28" t="s">
        <v>640</v>
      </c>
      <c r="O2" s="28" t="s">
        <v>646</v>
      </c>
      <c r="Q2" s="28" t="s">
        <v>641</v>
      </c>
      <c r="R2" s="28" t="s">
        <v>646</v>
      </c>
      <c r="T2" s="28" t="s">
        <v>642</v>
      </c>
      <c r="U2" s="28" t="s">
        <v>646</v>
      </c>
    </row>
    <row r="3" spans="1:21" x14ac:dyDescent="0.25">
      <c r="N3" t="s">
        <v>75</v>
      </c>
      <c r="O3" s="31">
        <v>8.0844650309718824E-2</v>
      </c>
      <c r="Q3" t="s">
        <v>115</v>
      </c>
      <c r="R3" s="31">
        <v>8.114283497908488E-2</v>
      </c>
      <c r="T3" t="s">
        <v>614</v>
      </c>
      <c r="U3" s="31">
        <v>7.7478044173438704E-2</v>
      </c>
    </row>
    <row r="4" spans="1:21" x14ac:dyDescent="0.25">
      <c r="A4" s="11" t="s">
        <v>647</v>
      </c>
      <c r="B4" s="11"/>
      <c r="C4" s="11"/>
      <c r="D4" s="11" t="s">
        <v>648</v>
      </c>
      <c r="E4" s="11"/>
      <c r="F4" s="11"/>
      <c r="G4" s="11" t="s">
        <v>649</v>
      </c>
      <c r="H4" s="11"/>
      <c r="I4" s="11"/>
      <c r="J4" s="11" t="s">
        <v>650</v>
      </c>
      <c r="K4" s="11"/>
      <c r="L4" s="11"/>
      <c r="N4" t="s">
        <v>85</v>
      </c>
      <c r="O4" s="31">
        <v>7.5764857188220347E-2</v>
      </c>
      <c r="Q4" t="s">
        <v>111</v>
      </c>
      <c r="R4" s="31">
        <v>7.9045943927314968E-2</v>
      </c>
      <c r="T4" t="s">
        <v>615</v>
      </c>
      <c r="U4" s="31">
        <v>7.6985675044359034E-2</v>
      </c>
    </row>
    <row r="5" spans="1:21" x14ac:dyDescent="0.25">
      <c r="A5" s="10">
        <v>250</v>
      </c>
      <c r="B5" s="9"/>
      <c r="C5" s="9"/>
      <c r="D5" s="8">
        <v>3708893</v>
      </c>
      <c r="E5" s="9"/>
      <c r="F5" s="9"/>
      <c r="G5" s="8">
        <v>285095</v>
      </c>
      <c r="H5" s="9"/>
      <c r="I5" s="9"/>
      <c r="J5" s="7">
        <v>7.5659076780817916E-2</v>
      </c>
      <c r="K5" s="9"/>
      <c r="L5" s="9"/>
      <c r="N5" t="s">
        <v>80</v>
      </c>
      <c r="O5" s="31">
        <v>7.5016263147907242E-2</v>
      </c>
      <c r="Q5" t="s">
        <v>131</v>
      </c>
      <c r="R5" s="31">
        <v>7.5826376785531016E-2</v>
      </c>
      <c r="T5" t="s">
        <v>616</v>
      </c>
      <c r="U5" s="31">
        <v>7.6528699716505E-2</v>
      </c>
    </row>
    <row r="6" spans="1:21" x14ac:dyDescent="0.25">
      <c r="A6" s="9"/>
      <c r="B6" s="9"/>
      <c r="C6" s="9"/>
      <c r="D6" s="9"/>
      <c r="E6" s="9"/>
      <c r="F6" s="9"/>
      <c r="G6" s="9"/>
      <c r="H6" s="9"/>
      <c r="I6" s="9"/>
      <c r="J6" s="9"/>
      <c r="K6" s="9"/>
      <c r="L6" s="9"/>
      <c r="N6" t="s">
        <v>97</v>
      </c>
      <c r="O6" s="31">
        <v>7.0968789855788791E-2</v>
      </c>
      <c r="Q6" t="s">
        <v>94</v>
      </c>
      <c r="R6" s="31">
        <v>7.492265942406709E-2</v>
      </c>
      <c r="T6" t="s">
        <v>617</v>
      </c>
      <c r="U6" s="31">
        <v>7.3721554421614224E-2</v>
      </c>
    </row>
    <row r="7" spans="1:21" x14ac:dyDescent="0.25">
      <c r="N7" t="s">
        <v>128</v>
      </c>
      <c r="O7" s="31">
        <v>6.9654349149029599E-2</v>
      </c>
      <c r="Q7" t="s">
        <v>88</v>
      </c>
      <c r="R7" s="31">
        <v>7.4446461155528748E-2</v>
      </c>
    </row>
    <row r="8" spans="1:21" x14ac:dyDescent="0.25">
      <c r="A8" s="12" t="s">
        <v>651</v>
      </c>
      <c r="B8" s="12"/>
      <c r="C8" s="12"/>
      <c r="D8" s="12"/>
      <c r="E8" s="12"/>
      <c r="F8" s="12"/>
      <c r="G8" s="12"/>
      <c r="H8" s="12"/>
      <c r="I8" s="12"/>
      <c r="J8" s="12"/>
      <c r="K8" s="12"/>
      <c r="L8" s="12"/>
      <c r="Q8" t="s">
        <v>91</v>
      </c>
      <c r="R8" s="31">
        <v>7.384188784600336E-2</v>
      </c>
    </row>
    <row r="9" spans="1:21" x14ac:dyDescent="0.25">
      <c r="A9" s="28" t="s">
        <v>652</v>
      </c>
      <c r="B9" s="28" t="s">
        <v>653</v>
      </c>
      <c r="C9" s="28" t="s">
        <v>654</v>
      </c>
      <c r="D9" s="28" t="s">
        <v>646</v>
      </c>
      <c r="E9" s="28" t="s">
        <v>655</v>
      </c>
      <c r="F9" s="28" t="s">
        <v>656</v>
      </c>
      <c r="H9" s="6" t="s">
        <v>657</v>
      </c>
      <c r="I9" s="6"/>
      <c r="J9" s="6"/>
      <c r="K9" s="6"/>
      <c r="L9" s="6"/>
      <c r="Q9" t="s">
        <v>76</v>
      </c>
      <c r="R9" s="31">
        <v>7.3286079661600223E-2</v>
      </c>
    </row>
    <row r="10" spans="1:21" ht="52.8" x14ac:dyDescent="0.25">
      <c r="A10" s="34" t="s">
        <v>640</v>
      </c>
      <c r="B10" s="34" t="s">
        <v>75</v>
      </c>
      <c r="C10" s="38">
        <v>61</v>
      </c>
      <c r="D10" s="37">
        <v>8.0844650309718824E-2</v>
      </c>
      <c r="E10" s="37">
        <v>6.8538683652238586E-2</v>
      </c>
      <c r="F10" s="34" t="s">
        <v>658</v>
      </c>
      <c r="H10" s="39" t="s">
        <v>640</v>
      </c>
      <c r="I10" s="39" t="s">
        <v>607</v>
      </c>
      <c r="J10" s="39" t="s">
        <v>608</v>
      </c>
      <c r="K10" s="39" t="s">
        <v>646</v>
      </c>
      <c r="L10" s="39" t="s">
        <v>659</v>
      </c>
      <c r="Q10" t="s">
        <v>81</v>
      </c>
      <c r="R10" s="31">
        <v>7.206478473185042E-2</v>
      </c>
    </row>
    <row r="11" spans="1:21" ht="39.6" x14ac:dyDescent="0.25">
      <c r="A11" s="34" t="s">
        <v>641</v>
      </c>
      <c r="B11" s="34" t="s">
        <v>115</v>
      </c>
      <c r="C11" s="38">
        <v>34</v>
      </c>
      <c r="D11" s="37">
        <v>8.114283497908488E-2</v>
      </c>
      <c r="E11" s="37">
        <v>7.2479845533315768E-2</v>
      </c>
      <c r="F11" s="34" t="s">
        <v>660</v>
      </c>
      <c r="H11" t="s">
        <v>75</v>
      </c>
      <c r="I11" s="30">
        <v>15499.836065573771</v>
      </c>
      <c r="J11" s="30">
        <v>1228.950819672131</v>
      </c>
      <c r="K11" s="31">
        <v>8.0844650309718824E-2</v>
      </c>
      <c r="L11" s="34" t="s">
        <v>661</v>
      </c>
    </row>
    <row r="12" spans="1:21" ht="39.6" x14ac:dyDescent="0.25">
      <c r="A12" s="34" t="s">
        <v>662</v>
      </c>
      <c r="B12" s="34" t="s">
        <v>629</v>
      </c>
      <c r="C12" s="38">
        <v>12</v>
      </c>
      <c r="D12" s="37">
        <v>9.0508430740679477E-2</v>
      </c>
      <c r="E12" s="37">
        <v>0.19626665552475209</v>
      </c>
      <c r="F12" s="34" t="s">
        <v>663</v>
      </c>
      <c r="H12" t="s">
        <v>80</v>
      </c>
      <c r="I12" s="30">
        <v>22448.961538461539</v>
      </c>
      <c r="J12" s="30">
        <v>1714.7692307692307</v>
      </c>
      <c r="K12" s="31">
        <v>7.5016263147907242E-2</v>
      </c>
      <c r="L12" s="34" t="s">
        <v>664</v>
      </c>
    </row>
    <row r="13" spans="1:21" ht="39.6" x14ac:dyDescent="0.25">
      <c r="A13" s="34" t="s">
        <v>665</v>
      </c>
      <c r="B13" s="34" t="s">
        <v>614</v>
      </c>
      <c r="C13" s="38">
        <v>42</v>
      </c>
      <c r="D13" s="37">
        <v>7.7478044173438704E-2</v>
      </c>
      <c r="E13" s="37">
        <v>2.4041628182832397E-2</v>
      </c>
      <c r="F13" s="34" t="s">
        <v>666</v>
      </c>
      <c r="H13" t="s">
        <v>85</v>
      </c>
      <c r="I13" s="30">
        <v>10288.295081967213</v>
      </c>
      <c r="J13" s="30">
        <v>799.86885245901635</v>
      </c>
      <c r="K13" s="31">
        <v>7.5764857188220347E-2</v>
      </c>
      <c r="L13" s="34" t="s">
        <v>667</v>
      </c>
    </row>
    <row r="14" spans="1:21" ht="39.6" x14ac:dyDescent="0.25">
      <c r="A14" s="34" t="s">
        <v>668</v>
      </c>
      <c r="B14" s="34" t="s">
        <v>620</v>
      </c>
      <c r="C14" s="38">
        <v>31</v>
      </c>
      <c r="D14" s="37">
        <v>8.4601092582948872E-2</v>
      </c>
      <c r="E14" s="37">
        <v>0.11818827538744237</v>
      </c>
      <c r="F14" s="34" t="s">
        <v>669</v>
      </c>
      <c r="H14" t="s">
        <v>128</v>
      </c>
      <c r="I14" s="30">
        <v>9316.1379310344819</v>
      </c>
      <c r="J14" s="30">
        <v>671.13793103448279</v>
      </c>
      <c r="K14" s="31">
        <v>6.9654349149029599E-2</v>
      </c>
      <c r="L14" s="34" t="s">
        <v>670</v>
      </c>
    </row>
    <row r="15" spans="1:21" ht="26.4" x14ac:dyDescent="0.25">
      <c r="H15" t="s">
        <v>97</v>
      </c>
      <c r="I15" s="30">
        <v>5458.5714285714284</v>
      </c>
      <c r="J15" s="30">
        <v>386.76190476190476</v>
      </c>
      <c r="K15" s="31">
        <v>7.0968789855788791E-2</v>
      </c>
      <c r="L15" s="34" t="s">
        <v>671</v>
      </c>
    </row>
    <row r="17" spans="1:12" x14ac:dyDescent="0.25">
      <c r="A17" s="12" t="s">
        <v>672</v>
      </c>
      <c r="B17" s="12"/>
      <c r="C17" s="12"/>
      <c r="D17" s="12"/>
      <c r="E17" s="12"/>
      <c r="F17" s="12"/>
      <c r="G17" s="12"/>
      <c r="H17" s="12"/>
      <c r="I17" s="12"/>
      <c r="J17" s="12"/>
      <c r="K17" s="12"/>
      <c r="L17" s="12"/>
    </row>
    <row r="18" spans="1:12" x14ac:dyDescent="0.25">
      <c r="A18" s="6" t="s">
        <v>566</v>
      </c>
      <c r="B18" s="6" t="s">
        <v>673</v>
      </c>
      <c r="C18" s="6" t="s">
        <v>674</v>
      </c>
      <c r="D18" s="6"/>
      <c r="E18" s="6" t="s">
        <v>675</v>
      </c>
      <c r="F18" s="6"/>
      <c r="G18" s="6"/>
      <c r="H18" s="6"/>
      <c r="I18" s="6"/>
      <c r="J18" s="6"/>
      <c r="K18" s="6" t="s">
        <v>674</v>
      </c>
      <c r="L18" s="6"/>
    </row>
    <row r="19" spans="1:12" ht="36.75" customHeight="1" x14ac:dyDescent="0.25">
      <c r="A19" s="5" t="s">
        <v>676</v>
      </c>
      <c r="B19" s="5"/>
      <c r="C19" s="5"/>
      <c r="D19" s="5"/>
      <c r="E19" s="5" t="s">
        <v>677</v>
      </c>
      <c r="F19" s="5"/>
      <c r="G19" s="5"/>
      <c r="H19" s="5"/>
      <c r="I19" s="5"/>
      <c r="J19" s="5"/>
      <c r="K19" s="4" t="s">
        <v>678</v>
      </c>
      <c r="L19" s="4"/>
    </row>
    <row r="20" spans="1:12" ht="36.75" customHeight="1" x14ac:dyDescent="0.25">
      <c r="A20" s="5" t="s">
        <v>679</v>
      </c>
      <c r="B20" s="5"/>
      <c r="C20" s="5"/>
      <c r="D20" s="5"/>
      <c r="E20" s="5" t="s">
        <v>680</v>
      </c>
      <c r="F20" s="5"/>
      <c r="G20" s="5"/>
      <c r="H20" s="5"/>
      <c r="I20" s="5"/>
      <c r="J20" s="5"/>
      <c r="K20" s="4" t="s">
        <v>678</v>
      </c>
      <c r="L20" s="4"/>
    </row>
    <row r="21" spans="1:12" ht="36.75" customHeight="1" x14ac:dyDescent="0.25">
      <c r="A21" s="5" t="s">
        <v>681</v>
      </c>
      <c r="B21" s="5"/>
      <c r="C21" s="5"/>
      <c r="D21" s="5"/>
      <c r="E21" s="5" t="s">
        <v>682</v>
      </c>
      <c r="F21" s="5"/>
      <c r="G21" s="5"/>
      <c r="H21" s="5"/>
      <c r="I21" s="5"/>
      <c r="J21" s="5"/>
      <c r="K21" s="4" t="s">
        <v>678</v>
      </c>
      <c r="L21" s="4"/>
    </row>
    <row r="22" spans="1:12" ht="36.75" customHeight="1" x14ac:dyDescent="0.25">
      <c r="A22" s="5" t="s">
        <v>683</v>
      </c>
      <c r="B22" s="5"/>
      <c r="C22" s="5"/>
      <c r="D22" s="5"/>
      <c r="E22" s="5" t="s">
        <v>684</v>
      </c>
      <c r="F22" s="5"/>
      <c r="G22" s="5"/>
      <c r="H22" s="5"/>
      <c r="I22" s="5"/>
      <c r="J22" s="5"/>
      <c r="K22" s="3" t="s">
        <v>685</v>
      </c>
      <c r="L22" s="3"/>
    </row>
    <row r="23" spans="1:12" ht="36.75" customHeight="1" x14ac:dyDescent="0.25">
      <c r="A23" s="5" t="s">
        <v>686</v>
      </c>
      <c r="B23" s="5"/>
      <c r="C23" s="5"/>
      <c r="D23" s="5"/>
      <c r="E23" s="5" t="s">
        <v>687</v>
      </c>
      <c r="F23" s="5"/>
      <c r="G23" s="5"/>
      <c r="H23" s="5"/>
      <c r="I23" s="5"/>
      <c r="J23" s="5"/>
      <c r="K23" s="2" t="s">
        <v>688</v>
      </c>
      <c r="L23" s="2"/>
    </row>
    <row r="26" spans="1:12" x14ac:dyDescent="0.25">
      <c r="A26" s="12" t="s">
        <v>689</v>
      </c>
      <c r="B26" s="12"/>
      <c r="C26" s="12"/>
      <c r="D26" s="12"/>
      <c r="E26" s="12"/>
      <c r="F26" s="12"/>
      <c r="G26" s="12"/>
      <c r="H26" s="12"/>
      <c r="I26" s="12"/>
      <c r="J26" s="12"/>
      <c r="K26" s="12"/>
      <c r="L26" s="12"/>
    </row>
    <row r="27" spans="1:12" x14ac:dyDescent="0.25">
      <c r="A27" s="1" t="s">
        <v>690</v>
      </c>
      <c r="B27" s="1"/>
      <c r="C27" s="1"/>
      <c r="D27" s="1"/>
      <c r="E27" s="1"/>
      <c r="F27" s="1"/>
      <c r="G27" s="1"/>
      <c r="H27" s="1"/>
      <c r="I27" s="1"/>
      <c r="J27" s="1"/>
      <c r="K27" s="1"/>
      <c r="L27" s="1"/>
    </row>
    <row r="28" spans="1:12" x14ac:dyDescent="0.25">
      <c r="A28" s="1"/>
      <c r="B28" s="1"/>
      <c r="C28" s="1"/>
      <c r="D28" s="1"/>
      <c r="E28" s="1"/>
      <c r="F28" s="1"/>
      <c r="G28" s="1"/>
      <c r="H28" s="1"/>
      <c r="I28" s="1"/>
      <c r="J28" s="1"/>
      <c r="K28" s="1"/>
      <c r="L28" s="1"/>
    </row>
    <row r="29" spans="1:12" x14ac:dyDescent="0.25">
      <c r="A29" s="1"/>
      <c r="B29" s="1"/>
      <c r="C29" s="1"/>
      <c r="D29" s="1"/>
      <c r="E29" s="1"/>
      <c r="F29" s="1"/>
      <c r="G29" s="1"/>
      <c r="H29" s="1"/>
      <c r="I29" s="1"/>
      <c r="J29" s="1"/>
      <c r="K29" s="1"/>
      <c r="L29" s="1"/>
    </row>
    <row r="31" spans="1:12" x14ac:dyDescent="0.25">
      <c r="A31" s="12" t="s">
        <v>691</v>
      </c>
      <c r="B31" s="12"/>
      <c r="C31" s="12"/>
      <c r="D31" s="12"/>
      <c r="E31" s="12"/>
      <c r="F31" s="12"/>
      <c r="G31" s="12"/>
      <c r="H31" s="12"/>
      <c r="I31" s="12"/>
      <c r="J31" s="12"/>
      <c r="K31" s="12"/>
      <c r="L31" s="12"/>
    </row>
    <row r="32" spans="1:12" x14ac:dyDescent="0.25">
      <c r="A32" s="13" t="s">
        <v>692</v>
      </c>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sheetData>
  <mergeCells count="35">
    <mergeCell ref="A31:L31"/>
    <mergeCell ref="A32:L34"/>
    <mergeCell ref="A23:D23"/>
    <mergeCell ref="E23:J23"/>
    <mergeCell ref="K23:L23"/>
    <mergeCell ref="A26:L26"/>
    <mergeCell ref="A27:L29"/>
    <mergeCell ref="A21:D21"/>
    <mergeCell ref="E21:J21"/>
    <mergeCell ref="K21:L21"/>
    <mergeCell ref="A22:D22"/>
    <mergeCell ref="E22:J22"/>
    <mergeCell ref="K22:L22"/>
    <mergeCell ref="A19:D19"/>
    <mergeCell ref="E19:J19"/>
    <mergeCell ref="K19:L19"/>
    <mergeCell ref="A20:D20"/>
    <mergeCell ref="E20:J20"/>
    <mergeCell ref="K20:L20"/>
    <mergeCell ref="A8:L8"/>
    <mergeCell ref="H9:L9"/>
    <mergeCell ref="A17:L17"/>
    <mergeCell ref="A18:D18"/>
    <mergeCell ref="E18:J18"/>
    <mergeCell ref="K18:L18"/>
    <mergeCell ref="A1:L1"/>
    <mergeCell ref="A2:L2"/>
    <mergeCell ref="A4:C4"/>
    <mergeCell ref="A5:C6"/>
    <mergeCell ref="D4:F4"/>
    <mergeCell ref="D5:F6"/>
    <mergeCell ref="G4:I4"/>
    <mergeCell ref="G5:I6"/>
    <mergeCell ref="J4:L4"/>
    <mergeCell ref="J5:L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
  <sheetViews>
    <sheetView workbookViewId="0"/>
  </sheetViews>
  <sheetFormatPr defaultRowHeight="13.2" x14ac:dyDescent="0.25"/>
  <cols>
    <col min="1" max="1" width="10" customWidth="1"/>
    <col min="2" max="2" width="13" customWidth="1"/>
    <col min="3" max="3" width="12" customWidth="1"/>
    <col min="4" max="4" width="16" customWidth="1"/>
    <col min="5" max="5" width="15" customWidth="1"/>
    <col min="6" max="6" width="14" customWidth="1"/>
    <col min="7" max="7" width="16" customWidth="1"/>
    <col min="8" max="8" width="55" customWidth="1"/>
    <col min="9" max="9" width="45" customWidth="1"/>
    <col min="10" max="10" width="32" customWidth="1"/>
    <col min="11" max="11" width="24" customWidth="1"/>
  </cols>
  <sheetData>
    <row r="1" spans="1:11" ht="22.35" customHeight="1" x14ac:dyDescent="0.25">
      <c r="A1" s="48" t="s">
        <v>693</v>
      </c>
      <c r="B1" s="48"/>
      <c r="C1" s="48"/>
      <c r="D1" s="48"/>
      <c r="E1" s="48"/>
      <c r="F1" s="48"/>
      <c r="G1" s="48"/>
      <c r="H1" s="48"/>
      <c r="I1" s="48"/>
      <c r="J1" s="48"/>
      <c r="K1" s="48"/>
    </row>
    <row r="2" spans="1:11" x14ac:dyDescent="0.25">
      <c r="A2" s="13" t="s">
        <v>694</v>
      </c>
      <c r="B2" s="13"/>
      <c r="C2" s="13"/>
      <c r="D2" s="13"/>
      <c r="E2" s="13"/>
      <c r="F2" s="13"/>
      <c r="G2" s="13"/>
      <c r="H2" s="13"/>
      <c r="I2" s="13"/>
      <c r="J2" s="13"/>
      <c r="K2" s="13"/>
    </row>
    <row r="3" spans="1:11" x14ac:dyDescent="0.25">
      <c r="A3" s="41"/>
      <c r="B3" s="41"/>
      <c r="C3" s="41"/>
      <c r="D3" s="41"/>
      <c r="E3" s="41"/>
      <c r="F3" s="41"/>
      <c r="G3" s="41"/>
      <c r="H3" s="41"/>
      <c r="I3" s="41"/>
      <c r="J3" s="41"/>
      <c r="K3" s="41"/>
    </row>
    <row r="4" spans="1:11" ht="26.4" x14ac:dyDescent="0.25">
      <c r="A4" s="42" t="s">
        <v>695</v>
      </c>
      <c r="B4" s="42" t="s">
        <v>696</v>
      </c>
      <c r="C4" s="42" t="s">
        <v>640</v>
      </c>
      <c r="D4" s="42" t="s">
        <v>641</v>
      </c>
      <c r="E4" s="42" t="s">
        <v>697</v>
      </c>
      <c r="F4" s="42" t="s">
        <v>698</v>
      </c>
      <c r="G4" s="42" t="s">
        <v>699</v>
      </c>
      <c r="H4" s="42" t="s">
        <v>700</v>
      </c>
      <c r="I4" s="42" t="s">
        <v>701</v>
      </c>
      <c r="J4" s="42" t="s">
        <v>702</v>
      </c>
      <c r="K4" s="42" t="s">
        <v>703</v>
      </c>
    </row>
    <row r="5" spans="1:11" ht="72" customHeight="1" x14ac:dyDescent="0.25">
      <c r="A5" s="43" t="s">
        <v>704</v>
      </c>
      <c r="B5" s="43" t="s">
        <v>74</v>
      </c>
      <c r="C5" s="43" t="s">
        <v>75</v>
      </c>
      <c r="D5" s="43" t="s">
        <v>115</v>
      </c>
      <c r="E5" s="43" t="s">
        <v>620</v>
      </c>
      <c r="F5" s="43" t="s">
        <v>629</v>
      </c>
      <c r="G5" s="43" t="s">
        <v>705</v>
      </c>
      <c r="H5" s="43" t="s">
        <v>706</v>
      </c>
      <c r="I5" s="43" t="s">
        <v>707</v>
      </c>
      <c r="J5" s="43" t="s">
        <v>708</v>
      </c>
      <c r="K5" s="43" t="s">
        <v>709</v>
      </c>
    </row>
    <row r="6" spans="1:11" ht="72" customHeight="1" x14ac:dyDescent="0.25">
      <c r="A6" s="43" t="s">
        <v>710</v>
      </c>
      <c r="B6" s="43" t="s">
        <v>74</v>
      </c>
      <c r="C6" s="43" t="s">
        <v>75</v>
      </c>
      <c r="D6" s="43" t="s">
        <v>115</v>
      </c>
      <c r="E6" s="43" t="s">
        <v>620</v>
      </c>
      <c r="F6" s="43" t="s">
        <v>629</v>
      </c>
      <c r="G6" s="43" t="s">
        <v>711</v>
      </c>
      <c r="H6" s="43" t="s">
        <v>712</v>
      </c>
      <c r="I6" s="43" t="s">
        <v>713</v>
      </c>
      <c r="J6" s="43" t="s">
        <v>714</v>
      </c>
      <c r="K6" s="43" t="s">
        <v>709</v>
      </c>
    </row>
    <row r="7" spans="1:11" ht="72" customHeight="1" x14ac:dyDescent="0.25">
      <c r="A7" s="43" t="s">
        <v>715</v>
      </c>
      <c r="B7" s="43" t="s">
        <v>74</v>
      </c>
      <c r="C7" s="43" t="s">
        <v>75</v>
      </c>
      <c r="D7" s="43" t="s">
        <v>115</v>
      </c>
      <c r="E7" s="43" t="s">
        <v>620</v>
      </c>
      <c r="F7" s="43" t="s">
        <v>629</v>
      </c>
      <c r="G7" s="43" t="s">
        <v>716</v>
      </c>
      <c r="H7" s="43" t="s">
        <v>717</v>
      </c>
      <c r="I7" s="43" t="s">
        <v>718</v>
      </c>
      <c r="J7" s="43" t="s">
        <v>719</v>
      </c>
      <c r="K7" s="43" t="s">
        <v>709</v>
      </c>
    </row>
    <row r="8" spans="1:11" ht="72" customHeight="1" x14ac:dyDescent="0.25">
      <c r="A8" s="43" t="s">
        <v>720</v>
      </c>
      <c r="B8" s="43" t="s">
        <v>74</v>
      </c>
      <c r="C8" s="43" t="s">
        <v>75</v>
      </c>
      <c r="D8" s="43" t="s">
        <v>115</v>
      </c>
      <c r="E8" s="43" t="s">
        <v>620</v>
      </c>
      <c r="F8" s="43" t="s">
        <v>629</v>
      </c>
      <c r="G8" s="43" t="s">
        <v>721</v>
      </c>
      <c r="H8" s="43" t="s">
        <v>722</v>
      </c>
      <c r="I8" s="43" t="s">
        <v>723</v>
      </c>
      <c r="J8" s="43" t="s">
        <v>724</v>
      </c>
      <c r="K8" s="43" t="s">
        <v>709</v>
      </c>
    </row>
    <row r="9" spans="1:11" ht="72" customHeight="1" x14ac:dyDescent="0.25">
      <c r="A9" s="43" t="s">
        <v>725</v>
      </c>
      <c r="B9" s="43" t="s">
        <v>74</v>
      </c>
      <c r="C9" s="43" t="s">
        <v>75</v>
      </c>
      <c r="D9" s="43" t="s">
        <v>115</v>
      </c>
      <c r="E9" s="43" t="s">
        <v>620</v>
      </c>
      <c r="F9" s="43" t="s">
        <v>629</v>
      </c>
      <c r="G9" s="43" t="s">
        <v>726</v>
      </c>
      <c r="H9" s="43" t="s">
        <v>727</v>
      </c>
      <c r="I9" s="43" t="s">
        <v>728</v>
      </c>
      <c r="J9" s="43" t="s">
        <v>729</v>
      </c>
      <c r="K9" s="43" t="s">
        <v>709</v>
      </c>
    </row>
    <row r="10" spans="1:11" ht="72" customHeight="1" x14ac:dyDescent="0.25">
      <c r="A10" s="43" t="s">
        <v>730</v>
      </c>
      <c r="B10" s="43" t="s">
        <v>74</v>
      </c>
      <c r="C10" s="43" t="s">
        <v>75</v>
      </c>
      <c r="D10" s="43" t="s">
        <v>115</v>
      </c>
      <c r="E10" s="43" t="s">
        <v>620</v>
      </c>
      <c r="F10" s="43" t="s">
        <v>629</v>
      </c>
      <c r="G10" s="43" t="s">
        <v>731</v>
      </c>
      <c r="H10" s="43" t="s">
        <v>732</v>
      </c>
      <c r="I10" s="43" t="s">
        <v>733</v>
      </c>
      <c r="J10" s="43" t="s">
        <v>734</v>
      </c>
      <c r="K10" s="43" t="s">
        <v>709</v>
      </c>
    </row>
    <row r="11" spans="1:11" ht="72" customHeight="1" x14ac:dyDescent="0.25">
      <c r="A11" s="43" t="s">
        <v>735</v>
      </c>
      <c r="B11" s="43" t="s">
        <v>74</v>
      </c>
      <c r="C11" s="43" t="s">
        <v>75</v>
      </c>
      <c r="D11" s="43" t="s">
        <v>115</v>
      </c>
      <c r="E11" s="43" t="s">
        <v>620</v>
      </c>
      <c r="F11" s="43" t="s">
        <v>629</v>
      </c>
      <c r="G11" s="43" t="s">
        <v>736</v>
      </c>
      <c r="H11" s="43" t="s">
        <v>737</v>
      </c>
      <c r="I11" s="43" t="s">
        <v>738</v>
      </c>
      <c r="J11" s="43" t="s">
        <v>739</v>
      </c>
      <c r="K11" s="43" t="s">
        <v>709</v>
      </c>
    </row>
    <row r="12" spans="1:11" ht="72" customHeight="1" x14ac:dyDescent="0.25">
      <c r="A12" s="43" t="s">
        <v>740</v>
      </c>
      <c r="B12" s="43" t="s">
        <v>74</v>
      </c>
      <c r="C12" s="43" t="s">
        <v>75</v>
      </c>
      <c r="D12" s="43" t="s">
        <v>115</v>
      </c>
      <c r="E12" s="43" t="s">
        <v>620</v>
      </c>
      <c r="F12" s="43" t="s">
        <v>629</v>
      </c>
      <c r="G12" s="43" t="s">
        <v>741</v>
      </c>
      <c r="H12" s="43" t="s">
        <v>742</v>
      </c>
      <c r="I12" s="43" t="s">
        <v>743</v>
      </c>
      <c r="J12" s="43" t="s">
        <v>744</v>
      </c>
      <c r="K12" s="43" t="s">
        <v>709</v>
      </c>
    </row>
    <row r="13" spans="1:11" ht="72" customHeight="1" x14ac:dyDescent="0.25">
      <c r="A13" s="43" t="s">
        <v>745</v>
      </c>
      <c r="B13" s="43" t="s">
        <v>74</v>
      </c>
      <c r="C13" s="43" t="s">
        <v>75</v>
      </c>
      <c r="D13" s="43" t="s">
        <v>115</v>
      </c>
      <c r="E13" s="43" t="s">
        <v>620</v>
      </c>
      <c r="F13" s="43" t="s">
        <v>629</v>
      </c>
      <c r="G13" s="43" t="s">
        <v>705</v>
      </c>
      <c r="H13" s="43" t="s">
        <v>746</v>
      </c>
      <c r="I13" s="43" t="s">
        <v>747</v>
      </c>
      <c r="J13" s="43" t="s">
        <v>748</v>
      </c>
      <c r="K13" s="43" t="s">
        <v>709</v>
      </c>
    </row>
    <row r="14" spans="1:11" ht="72" customHeight="1" x14ac:dyDescent="0.25">
      <c r="A14" s="43" t="s">
        <v>749</v>
      </c>
      <c r="B14" s="43" t="s">
        <v>74</v>
      </c>
      <c r="C14" s="43" t="s">
        <v>75</v>
      </c>
      <c r="D14" s="43" t="s">
        <v>115</v>
      </c>
      <c r="E14" s="43" t="s">
        <v>620</v>
      </c>
      <c r="F14" s="43" t="s">
        <v>629</v>
      </c>
      <c r="G14" s="43" t="s">
        <v>711</v>
      </c>
      <c r="H14" s="43" t="s">
        <v>750</v>
      </c>
      <c r="I14" s="43" t="s">
        <v>751</v>
      </c>
      <c r="J14" s="43" t="s">
        <v>752</v>
      </c>
      <c r="K14" s="43" t="s">
        <v>709</v>
      </c>
    </row>
  </sheetData>
  <mergeCells count="2">
    <mergeCell ref="A1:K1"/>
    <mergeCell ref="A2:K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
  <sheetViews>
    <sheetView workbookViewId="0"/>
  </sheetViews>
  <sheetFormatPr defaultRowHeight="13.2" x14ac:dyDescent="0.25"/>
  <cols>
    <col min="1" max="1" width="18" customWidth="1"/>
    <col min="2" max="2" width="22" customWidth="1"/>
    <col min="3" max="3" width="32" customWidth="1"/>
    <col min="4" max="8" width="18" customWidth="1"/>
  </cols>
  <sheetData>
    <row r="1" spans="1:8" ht="22.35" customHeight="1" x14ac:dyDescent="0.25">
      <c r="A1" s="14" t="s">
        <v>753</v>
      </c>
      <c r="B1" s="14"/>
      <c r="C1" s="14"/>
      <c r="D1" s="14"/>
      <c r="E1" s="14"/>
      <c r="F1" s="14"/>
      <c r="G1" s="14"/>
      <c r="H1" s="14"/>
    </row>
    <row r="2" spans="1:8" x14ac:dyDescent="0.25">
      <c r="A2" s="13" t="s">
        <v>754</v>
      </c>
      <c r="B2" s="13"/>
      <c r="C2" s="13"/>
      <c r="D2" s="13"/>
      <c r="E2" s="13"/>
      <c r="F2" s="13"/>
      <c r="G2" s="13"/>
      <c r="H2" s="13"/>
    </row>
    <row r="4" spans="1:8" x14ac:dyDescent="0.25">
      <c r="A4" s="12" t="s">
        <v>755</v>
      </c>
      <c r="B4" s="12"/>
      <c r="C4" s="12"/>
      <c r="D4" s="12"/>
      <c r="E4" s="12" t="s">
        <v>756</v>
      </c>
      <c r="F4" s="12"/>
      <c r="G4" s="12"/>
      <c r="H4" s="12"/>
    </row>
    <row r="5" spans="1:8" x14ac:dyDescent="0.25">
      <c r="A5" s="39" t="s">
        <v>640</v>
      </c>
      <c r="B5" s="40" t="s">
        <v>75</v>
      </c>
      <c r="C5" s="34" t="s">
        <v>757</v>
      </c>
      <c r="E5" s="49" t="s">
        <v>758</v>
      </c>
      <c r="F5" s="49"/>
      <c r="G5" s="49"/>
      <c r="H5" s="49"/>
    </row>
    <row r="6" spans="1:8" x14ac:dyDescent="0.25">
      <c r="A6" s="39" t="s">
        <v>641</v>
      </c>
      <c r="B6" s="40" t="s">
        <v>115</v>
      </c>
      <c r="C6" s="34" t="s">
        <v>759</v>
      </c>
      <c r="E6" s="49"/>
      <c r="F6" s="49"/>
      <c r="G6" s="49"/>
      <c r="H6" s="49"/>
    </row>
    <row r="7" spans="1:8" x14ac:dyDescent="0.25">
      <c r="A7" s="39" t="s">
        <v>760</v>
      </c>
      <c r="B7" s="40" t="s">
        <v>629</v>
      </c>
      <c r="C7" s="34" t="s">
        <v>761</v>
      </c>
      <c r="E7" s="49"/>
      <c r="F7" s="49"/>
      <c r="G7" s="49"/>
      <c r="H7" s="49"/>
    </row>
    <row r="8" spans="1:8" x14ac:dyDescent="0.25">
      <c r="A8" s="39" t="s">
        <v>762</v>
      </c>
      <c r="B8" s="40" t="s">
        <v>763</v>
      </c>
      <c r="C8" s="34" t="s">
        <v>764</v>
      </c>
      <c r="E8" s="49"/>
      <c r="F8" s="49"/>
      <c r="G8" s="49"/>
      <c r="H8" s="49"/>
    </row>
    <row r="10" spans="1:8" x14ac:dyDescent="0.25">
      <c r="A10" s="12" t="s">
        <v>765</v>
      </c>
      <c r="B10" s="12"/>
      <c r="C10" s="12"/>
      <c r="D10" s="12"/>
      <c r="E10" s="12" t="s">
        <v>766</v>
      </c>
      <c r="F10" s="12"/>
      <c r="G10" s="12"/>
      <c r="H10" s="12"/>
    </row>
    <row r="11" spans="1:8" ht="31.95" customHeight="1" x14ac:dyDescent="0.25">
      <c r="A11" s="4" t="s">
        <v>767</v>
      </c>
      <c r="B11" s="4"/>
      <c r="C11" s="4"/>
      <c r="D11" s="4"/>
      <c r="E11" s="2" t="s">
        <v>768</v>
      </c>
      <c r="F11" s="2"/>
      <c r="G11" s="2"/>
      <c r="H11" s="2"/>
    </row>
    <row r="12" spans="1:8" ht="31.95" customHeight="1" x14ac:dyDescent="0.25">
      <c r="A12" s="50" t="s">
        <v>769</v>
      </c>
      <c r="B12" s="50"/>
      <c r="C12" s="50"/>
      <c r="D12" s="50"/>
      <c r="E12" s="50" t="s">
        <v>770</v>
      </c>
      <c r="F12" s="50"/>
      <c r="G12" s="50"/>
      <c r="H12" s="50"/>
    </row>
    <row r="13" spans="1:8" ht="31.95" customHeight="1" x14ac:dyDescent="0.25">
      <c r="A13" s="4" t="s">
        <v>771</v>
      </c>
      <c r="B13" s="4"/>
      <c r="C13" s="4"/>
      <c r="D13" s="4"/>
      <c r="E13" s="2" t="s">
        <v>772</v>
      </c>
      <c r="F13" s="2"/>
      <c r="G13" s="2"/>
      <c r="H13" s="2"/>
    </row>
    <row r="14" spans="1:8" ht="31.95" customHeight="1" x14ac:dyDescent="0.25">
      <c r="A14" s="50" t="s">
        <v>773</v>
      </c>
      <c r="B14" s="50"/>
      <c r="C14" s="50"/>
      <c r="D14" s="50"/>
      <c r="E14" s="50" t="s">
        <v>774</v>
      </c>
      <c r="F14" s="50"/>
      <c r="G14" s="50"/>
      <c r="H14" s="50"/>
    </row>
    <row r="15" spans="1:8" ht="31.95" customHeight="1" x14ac:dyDescent="0.25">
      <c r="A15" s="4" t="s">
        <v>775</v>
      </c>
      <c r="B15" s="4"/>
      <c r="C15" s="4"/>
      <c r="D15" s="4"/>
      <c r="E15" s="2" t="s">
        <v>776</v>
      </c>
      <c r="F15" s="2"/>
      <c r="G15" s="2"/>
      <c r="H15" s="2"/>
    </row>
    <row r="17" spans="1:8" x14ac:dyDescent="0.25">
      <c r="A17" s="12" t="s">
        <v>777</v>
      </c>
      <c r="B17" s="12"/>
      <c r="C17" s="12"/>
      <c r="D17" s="12"/>
      <c r="E17" s="12"/>
      <c r="F17" s="12"/>
      <c r="G17" s="12"/>
      <c r="H17" s="12"/>
    </row>
    <row r="18" spans="1:8" x14ac:dyDescent="0.25">
      <c r="A18" s="13" t="s">
        <v>778</v>
      </c>
      <c r="B18" s="13"/>
      <c r="C18" s="13"/>
      <c r="D18" s="13"/>
      <c r="E18" s="13"/>
      <c r="F18" s="13"/>
      <c r="G18" s="13"/>
      <c r="H18" s="13"/>
    </row>
    <row r="19" spans="1:8" x14ac:dyDescent="0.25">
      <c r="A19" s="13"/>
      <c r="B19" s="13"/>
      <c r="C19" s="13"/>
      <c r="D19" s="13"/>
      <c r="E19" s="13"/>
      <c r="F19" s="13"/>
      <c r="G19" s="13"/>
      <c r="H19" s="13"/>
    </row>
    <row r="20" spans="1:8" x14ac:dyDescent="0.25">
      <c r="A20" s="13"/>
      <c r="B20" s="13"/>
      <c r="C20" s="13"/>
      <c r="D20" s="13"/>
      <c r="E20" s="13"/>
      <c r="F20" s="13"/>
      <c r="G20" s="13"/>
      <c r="H20" s="13"/>
    </row>
  </sheetData>
  <mergeCells count="19">
    <mergeCell ref="A17:H17"/>
    <mergeCell ref="A18:H20"/>
    <mergeCell ref="A15:D15"/>
    <mergeCell ref="E10:H10"/>
    <mergeCell ref="E11:H11"/>
    <mergeCell ref="E12:H12"/>
    <mergeCell ref="E13:H13"/>
    <mergeCell ref="E14:H14"/>
    <mergeCell ref="E15:H15"/>
    <mergeCell ref="A10:D10"/>
    <mergeCell ref="A11:D11"/>
    <mergeCell ref="A12:D12"/>
    <mergeCell ref="A13:D13"/>
    <mergeCell ref="A14:D14"/>
    <mergeCell ref="A1:H1"/>
    <mergeCell ref="A2:H2"/>
    <mergeCell ref="A4:D4"/>
    <mergeCell ref="E4:H4"/>
    <mergeCell ref="E5:H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6"/>
  <sheetViews>
    <sheetView workbookViewId="0"/>
  </sheetViews>
  <sheetFormatPr defaultRowHeight="13.2" x14ac:dyDescent="0.25"/>
  <cols>
    <col min="1" max="1" width="18" customWidth="1"/>
    <col min="2" max="2" width="24" customWidth="1"/>
    <col min="3" max="8" width="18" customWidth="1"/>
  </cols>
  <sheetData>
    <row r="1" spans="1:17" ht="22.35" customHeight="1" x14ac:dyDescent="0.25">
      <c r="A1" s="14" t="s">
        <v>779</v>
      </c>
      <c r="B1" s="14"/>
      <c r="C1" s="14"/>
      <c r="D1" s="14"/>
      <c r="E1" s="14"/>
      <c r="F1" s="14"/>
      <c r="G1" s="14"/>
      <c r="H1" s="14"/>
    </row>
    <row r="2" spans="1:17" ht="26.4" x14ac:dyDescent="0.25">
      <c r="A2" s="13" t="s">
        <v>780</v>
      </c>
      <c r="B2" s="13"/>
      <c r="C2" s="13"/>
      <c r="D2" s="13"/>
      <c r="E2" s="13"/>
      <c r="F2" s="13"/>
      <c r="G2" s="13"/>
      <c r="H2" s="13"/>
      <c r="J2" s="28" t="s">
        <v>640</v>
      </c>
      <c r="K2" s="28" t="s">
        <v>646</v>
      </c>
      <c r="M2" s="28" t="s">
        <v>641</v>
      </c>
      <c r="N2" s="28" t="s">
        <v>646</v>
      </c>
      <c r="P2" s="28" t="s">
        <v>781</v>
      </c>
      <c r="Q2" s="28" t="s">
        <v>646</v>
      </c>
    </row>
    <row r="3" spans="1:17" x14ac:dyDescent="0.25">
      <c r="J3" t="s">
        <v>75</v>
      </c>
      <c r="K3" s="31">
        <v>8.0844650309718824E-2</v>
      </c>
      <c r="M3" t="s">
        <v>115</v>
      </c>
      <c r="N3" s="31">
        <v>8.114283497908488E-2</v>
      </c>
      <c r="P3" t="s">
        <v>630</v>
      </c>
      <c r="Q3" s="31">
        <v>8.84744522572741E-2</v>
      </c>
    </row>
    <row r="4" spans="1:17" x14ac:dyDescent="0.25">
      <c r="A4" s="28" t="s">
        <v>782</v>
      </c>
      <c r="B4" s="28" t="s">
        <v>783</v>
      </c>
      <c r="J4" t="s">
        <v>85</v>
      </c>
      <c r="K4" s="31">
        <v>7.5764857188220347E-2</v>
      </c>
      <c r="M4" t="s">
        <v>111</v>
      </c>
      <c r="N4" s="31">
        <v>7.9045943927314968E-2</v>
      </c>
      <c r="P4" t="s">
        <v>784</v>
      </c>
      <c r="Q4" s="31">
        <v>6.9735043395497187E-2</v>
      </c>
    </row>
    <row r="5" spans="1:17" x14ac:dyDescent="0.25">
      <c r="A5" s="39" t="s">
        <v>640</v>
      </c>
      <c r="B5" s="44" t="s">
        <v>75</v>
      </c>
      <c r="J5" t="s">
        <v>80</v>
      </c>
      <c r="K5" s="31">
        <v>7.5016263147907242E-2</v>
      </c>
      <c r="M5" t="s">
        <v>131</v>
      </c>
      <c r="N5" s="31">
        <v>7.5826376785531016E-2</v>
      </c>
      <c r="P5" t="s">
        <v>636</v>
      </c>
      <c r="Q5" s="31">
        <v>7.714661824676243E-2</v>
      </c>
    </row>
    <row r="6" spans="1:17" x14ac:dyDescent="0.25">
      <c r="A6" s="39" t="s">
        <v>641</v>
      </c>
      <c r="B6" s="44" t="s">
        <v>115</v>
      </c>
      <c r="J6" t="s">
        <v>97</v>
      </c>
      <c r="K6" s="31">
        <v>7.0968789855788791E-2</v>
      </c>
      <c r="M6" t="s">
        <v>94</v>
      </c>
      <c r="N6" s="31">
        <v>7.492265942406709E-2</v>
      </c>
      <c r="P6" t="s">
        <v>785</v>
      </c>
      <c r="Q6" s="31">
        <v>6.3363988329475457E-2</v>
      </c>
    </row>
    <row r="7" spans="1:17" x14ac:dyDescent="0.25">
      <c r="A7" s="39" t="s">
        <v>662</v>
      </c>
      <c r="B7" s="44" t="s">
        <v>629</v>
      </c>
      <c r="J7" t="s">
        <v>128</v>
      </c>
      <c r="K7" s="31">
        <v>6.9654349149029599E-2</v>
      </c>
      <c r="M7" t="s">
        <v>88</v>
      </c>
      <c r="N7" s="31">
        <v>7.4446461155528748E-2</v>
      </c>
      <c r="P7" t="s">
        <v>634</v>
      </c>
      <c r="Q7" s="31">
        <v>7.9302752384849975E-2</v>
      </c>
    </row>
    <row r="8" spans="1:17" x14ac:dyDescent="0.25">
      <c r="M8" t="s">
        <v>91</v>
      </c>
      <c r="N8" s="31">
        <v>7.384188784600336E-2</v>
      </c>
      <c r="P8" t="s">
        <v>786</v>
      </c>
      <c r="Q8" s="31">
        <v>6.6690322706608657E-2</v>
      </c>
    </row>
    <row r="9" spans="1:17" x14ac:dyDescent="0.25">
      <c r="A9" s="28" t="s">
        <v>787</v>
      </c>
      <c r="B9" s="28" t="s">
        <v>788</v>
      </c>
      <c r="C9" s="28" t="s">
        <v>789</v>
      </c>
      <c r="D9" s="28" t="s">
        <v>790</v>
      </c>
      <c r="M9" t="s">
        <v>76</v>
      </c>
      <c r="N9" s="31">
        <v>7.3286079661600223E-2</v>
      </c>
      <c r="P9" t="s">
        <v>791</v>
      </c>
      <c r="Q9" s="31">
        <v>7.2499515401982892E-2</v>
      </c>
    </row>
    <row r="10" spans="1:17" x14ac:dyDescent="0.25">
      <c r="A10" t="s">
        <v>640</v>
      </c>
      <c r="B10" t="str">
        <f>B5</f>
        <v>Carousel</v>
      </c>
      <c r="C10" s="31">
        <f>IFERROR(VLOOKUP(B10,$J$3:$K$7,2,FALSE),0)</f>
        <v>8.0844650309718824E-2</v>
      </c>
      <c r="D10" s="31">
        <f>IFERROR(C10/0.0756590767808179-1,0)</f>
        <v>6.8538683652238808E-2</v>
      </c>
      <c r="M10" t="s">
        <v>81</v>
      </c>
      <c r="N10" s="31">
        <v>7.206478473185042E-2</v>
      </c>
      <c r="P10" t="s">
        <v>792</v>
      </c>
      <c r="Q10" s="31">
        <v>7.452714904058147E-2</v>
      </c>
    </row>
    <row r="11" spans="1:17" x14ac:dyDescent="0.25">
      <c r="A11" t="s">
        <v>641</v>
      </c>
      <c r="B11" t="str">
        <f>B6</f>
        <v>Founder story</v>
      </c>
      <c r="C11" s="31">
        <f>IFERROR(VLOOKUP(B11,$M$3:$N$10,2,FALSE),0)</f>
        <v>8.114283497908488E-2</v>
      </c>
      <c r="D11" s="31">
        <f>IFERROR(C11/0.0756590767808179-1,0)</f>
        <v>7.247984553331599E-2</v>
      </c>
      <c r="P11" t="s">
        <v>793</v>
      </c>
      <c r="Q11" s="31">
        <v>7.3230603154116378E-2</v>
      </c>
    </row>
    <row r="12" spans="1:17" x14ac:dyDescent="0.25">
      <c r="A12" t="s">
        <v>662</v>
      </c>
      <c r="B12" t="str">
        <f>B7</f>
        <v>17:00</v>
      </c>
      <c r="C12" s="31">
        <f>IFERROR(VLOOKUP(B12,$P$3:$Q$26,2,FALSE),0)</f>
        <v>9.0508430740679477E-2</v>
      </c>
      <c r="D12" s="31">
        <f>IFERROR(C12/0.0756590767808179-1,0)</f>
        <v>0.19626665552475231</v>
      </c>
      <c r="P12" t="s">
        <v>794</v>
      </c>
      <c r="Q12" s="31">
        <v>7.5297727834895425E-2</v>
      </c>
    </row>
    <row r="13" spans="1:17" x14ac:dyDescent="0.25">
      <c r="P13" t="s">
        <v>635</v>
      </c>
      <c r="Q13" s="31">
        <v>7.8767918218065155E-2</v>
      </c>
    </row>
    <row r="14" spans="1:17" ht="21" x14ac:dyDescent="0.25">
      <c r="A14" s="51" t="s">
        <v>795</v>
      </c>
      <c r="B14" s="51"/>
      <c r="C14" s="7">
        <f>AVERAGE(C10:C12)</f>
        <v>8.4165305343161065E-2</v>
      </c>
      <c r="D14" s="9"/>
      <c r="P14" t="s">
        <v>633</v>
      </c>
      <c r="Q14" s="31">
        <v>8.2841664015467553E-2</v>
      </c>
    </row>
    <row r="15" spans="1:17" x14ac:dyDescent="0.25">
      <c r="P15" t="s">
        <v>632</v>
      </c>
      <c r="Q15" s="31">
        <v>8.3208991164818003E-2</v>
      </c>
    </row>
    <row r="16" spans="1:17" x14ac:dyDescent="0.25">
      <c r="A16" s="12" t="s">
        <v>796</v>
      </c>
      <c r="B16" s="12"/>
      <c r="C16" s="12"/>
      <c r="D16" s="12"/>
      <c r="E16" s="12"/>
      <c r="F16" s="12"/>
      <c r="G16" s="12"/>
      <c r="H16" s="12"/>
      <c r="P16" t="s">
        <v>797</v>
      </c>
      <c r="Q16" s="31">
        <v>6.9881757999303337E-2</v>
      </c>
    </row>
    <row r="17" spans="1:17" ht="38.4" customHeight="1" x14ac:dyDescent="0.25">
      <c r="A17" s="1" t="str">
        <f>IF(C14&gt;=0.0756590767808179,"Above-baseline historical pattern. Proceed as a test, then measure actual reach and engagement rate.","Below-baseline historical pattern. Consider changing at least one factor toward Carousel, Founder story or Afternoon.")</f>
        <v>Above-baseline historical pattern. Proceed as a test, then measure actual reach and engagement rate.</v>
      </c>
      <c r="B17" s="1"/>
      <c r="C17" s="1"/>
      <c r="D17" s="1"/>
      <c r="E17" s="1"/>
      <c r="F17" s="1"/>
      <c r="G17" s="1"/>
      <c r="H17" s="1"/>
      <c r="P17" t="s">
        <v>631</v>
      </c>
      <c r="Q17" s="31">
        <v>8.5173973616582979E-2</v>
      </c>
    </row>
    <row r="18" spans="1:17" ht="38.4" customHeight="1" x14ac:dyDescent="0.25">
      <c r="A18" s="1"/>
      <c r="B18" s="1"/>
      <c r="C18" s="1"/>
      <c r="D18" s="1"/>
      <c r="E18" s="1"/>
      <c r="F18" s="1"/>
      <c r="G18" s="1"/>
      <c r="H18" s="1"/>
      <c r="P18" t="s">
        <v>798</v>
      </c>
      <c r="Q18" s="31">
        <v>6.2356532337102748E-2</v>
      </c>
    </row>
    <row r="19" spans="1:17" ht="38.4" customHeight="1" x14ac:dyDescent="0.25">
      <c r="A19" s="1"/>
      <c r="B19" s="1"/>
      <c r="C19" s="1"/>
      <c r="D19" s="1"/>
      <c r="E19" s="1"/>
      <c r="F19" s="1"/>
      <c r="G19" s="1"/>
      <c r="H19" s="1"/>
      <c r="P19" t="s">
        <v>638</v>
      </c>
      <c r="Q19" s="31">
        <v>7.6631056598181257E-2</v>
      </c>
    </row>
    <row r="20" spans="1:17" x14ac:dyDescent="0.25">
      <c r="P20" t="s">
        <v>629</v>
      </c>
      <c r="Q20" s="31">
        <v>9.0508430740679477E-2</v>
      </c>
    </row>
    <row r="21" spans="1:17" x14ac:dyDescent="0.25">
      <c r="A21" s="13" t="s">
        <v>799</v>
      </c>
      <c r="B21" s="13"/>
      <c r="C21" s="13"/>
      <c r="D21" s="13"/>
      <c r="E21" s="13"/>
      <c r="F21" s="13"/>
      <c r="G21" s="13"/>
      <c r="H21" s="13"/>
      <c r="P21" t="s">
        <v>637</v>
      </c>
      <c r="Q21" s="31">
        <v>7.7137155004584956E-2</v>
      </c>
    </row>
    <row r="22" spans="1:17" x14ac:dyDescent="0.25">
      <c r="A22" s="13"/>
      <c r="B22" s="13"/>
      <c r="C22" s="13"/>
      <c r="D22" s="13"/>
      <c r="E22" s="13"/>
      <c r="F22" s="13"/>
      <c r="G22" s="13"/>
      <c r="H22" s="13"/>
      <c r="P22" t="s">
        <v>800</v>
      </c>
      <c r="Q22" s="31">
        <v>7.5571949617473419E-2</v>
      </c>
    </row>
    <row r="23" spans="1:17" x14ac:dyDescent="0.25">
      <c r="A23" s="13"/>
      <c r="B23" s="13"/>
      <c r="C23" s="13"/>
      <c r="D23" s="13"/>
      <c r="E23" s="13"/>
      <c r="F23" s="13"/>
      <c r="G23" s="13"/>
      <c r="H23" s="13"/>
      <c r="P23" t="s">
        <v>801</v>
      </c>
      <c r="Q23" s="31">
        <v>6.0217579582591475E-2</v>
      </c>
    </row>
    <row r="24" spans="1:17" x14ac:dyDescent="0.25">
      <c r="P24" t="s">
        <v>802</v>
      </c>
      <c r="Q24" s="31">
        <v>7.1847700750359789E-2</v>
      </c>
    </row>
    <row r="25" spans="1:17" x14ac:dyDescent="0.25">
      <c r="P25" t="s">
        <v>803</v>
      </c>
      <c r="Q25" s="31">
        <v>7.490749110487456E-2</v>
      </c>
    </row>
    <row r="26" spans="1:17" x14ac:dyDescent="0.25">
      <c r="P26" t="s">
        <v>804</v>
      </c>
      <c r="Q26" s="31">
        <v>7.3407480931126118E-2</v>
      </c>
    </row>
  </sheetData>
  <mergeCells count="7">
    <mergeCell ref="A17:H19"/>
    <mergeCell ref="A21:H23"/>
    <mergeCell ref="A1:H1"/>
    <mergeCell ref="A2:H2"/>
    <mergeCell ref="A14:B14"/>
    <mergeCell ref="C14:D14"/>
    <mergeCell ref="A16:H16"/>
  </mergeCells>
  <dataValidations count="3">
    <dataValidation type="list" sqref="B5" xr:uid="{00000000-0002-0000-0900-000000000000}">
      <formula1>"Carousel,Static image,Reel,Text post,Story"</formula1>
    </dataValidation>
    <dataValidation type="list" sqref="B6" xr:uid="{00000000-0002-0000-0900-000001000000}">
      <formula1>"Founder story,Giveaway,Festive offer,Meme/trend,Behind the scenes,Customer testimonial,Product launch,How-to tip"</formula1>
    </dataValidation>
    <dataValidation type="list" sqref="B7" xr:uid="{00000000-0002-0000-0900-000002000000}">
      <formula1>"00:00,01:00,02:00,03:00,04:00,05:00,06:00,07:00,08:00,09:00,10:00,11:00,12:00,13:00,14:00,15:00,16:00,17:00,18:00,19:00,20:00,21:00,22:00,23:00"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 Brief</vt:lpstr>
      <vt:lpstr>Posts</vt:lpstr>
      <vt:lpstr>Data Dictionary</vt:lpstr>
      <vt:lpstr>AI Use Log</vt:lpstr>
      <vt:lpstr>Analysis Data</vt:lpstr>
      <vt:lpstr>Pivot Verification</vt:lpstr>
      <vt:lpstr>Engagement Analysis</vt:lpstr>
      <vt:lpstr>New Post Drafts</vt:lpstr>
      <vt:lpstr>Posting Rules</vt:lpstr>
      <vt:lpstr>Post Optimizer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Shalin Gudhu</cp:lastModifiedBy>
  <dcterms:modified xsi:type="dcterms:W3CDTF">2026-10-04T14:42:25Z</dcterms:modified>
</cp:coreProperties>
</file>